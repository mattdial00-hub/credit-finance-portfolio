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Spread" sheetId="3" state="visible" r:id="rId5"/>
    <sheet name="Ratios" sheetId="4" state="visible" r:id="rId6"/>
    <sheet name="ProForma_DSCR" sheetId="5" state="visible" r:id="rId7"/>
    <sheet name="Global_CF" sheetId="6" state="visible" r:id="rId8"/>
    <sheet name="Stress_Test" sheetId="7" state="visible" r:id="rId9"/>
    <sheet name="Collateral_BB" sheetId="8" state="visible" r:id="rId10"/>
    <sheet name="Risk_Rating" sheetId="9" state="visible" r:id="rId11"/>
    <sheet name="Amortizat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1 - variable costs / revenue. Each $1 of lost revenue removes this much EBITDA.</t>
        </r>
      </text>
    </comment>
    <comment ref="B8" authorId="0">
      <text>
        <r>
          <rPr>
            <sz val="10"/>
            <rFont val="Arial"/>
            <family val="2"/>
          </rPr>
          <t xml:space="preserve">Distributions are mostly tax distributions, so they fall when net income falls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2" authorId="0">
      <text>
        <r>
          <rPr>
            <sz val="10"/>
            <rFont val="Arial"/>
            <family val="2"/>
          </rPr>
          <t xml:space="preserve">Should be zero after month 84</t>
        </r>
      </text>
    </comment>
  </commentList>
</comments>
</file>

<file path=xl/sharedStrings.xml><?xml version="1.0" encoding="utf-8"?>
<sst xmlns="http://schemas.openxmlformats.org/spreadsheetml/2006/main" count="482" uniqueCount="420">
  <si>
    <t xml:space="preserve">Commercial Credit Analysis Model</t>
  </si>
  <si>
    <t xml:space="preserve">Brazos Bend Fabrication, LLC  |  $2.8MM Equipment Term Loan + $1.5MM Revolving Line of Credit</t>
  </si>
  <si>
    <t xml:space="preserve">Prepared by Matthew Dial  |  Portfolio work sample  |  October 2026</t>
  </si>
  <si>
    <t xml:space="preserve">DISCLAIMER: The borrower, guarantors, bank, and all figures are fictional and were created for portfolio demonstration only. No real customer or employer data is used.</t>
  </si>
  <si>
    <t xml:space="preserve">Tab</t>
  </si>
  <si>
    <t xml:space="preserve">What it shows</t>
  </si>
  <si>
    <t xml:space="preserve">Inputs</t>
  </si>
  <si>
    <t xml:space="preserve">Deal terms, pricing, projection and stress assumptions (all blue cells are editable)</t>
  </si>
  <si>
    <t xml:space="preserve">Spread</t>
  </si>
  <si>
    <t xml:space="preserve">Three-year financial statement spread, equity roll-forward, derived cash flow, tie-out checks</t>
  </si>
  <si>
    <t xml:space="preserve">Ratios</t>
  </si>
  <si>
    <t xml:space="preserve">Profitability, liquidity, working capital cycle, leverage, and coverage trends</t>
  </si>
  <si>
    <t xml:space="preserve">Global_CF</t>
  </si>
  <si>
    <t xml:space="preserve">Guarantor personal cash flow, liquidity, and global debt service coverage</t>
  </si>
  <si>
    <t xml:space="preserve">ProForma_DSCR</t>
  </si>
  <si>
    <t xml:space="preserve">Historical pro forma DSCR with new debt plus projected Year 1 DSCR</t>
  </si>
  <si>
    <t xml:space="preserve">Stress_Test</t>
  </si>
  <si>
    <t xml:space="preserve">Revenue, margin, and rate sensitivities with breakeven revenue decline</t>
  </si>
  <si>
    <t xml:space="preserve">Risk_Rating</t>
  </si>
  <si>
    <t xml:space="preserve">Weighted 9-point risk rating scorecard</t>
  </si>
  <si>
    <t xml:space="preserve">Collateral_BB</t>
  </si>
  <si>
    <t xml:space="preserve">Collateral coverage analysis and borrowing base certificate</t>
  </si>
  <si>
    <t xml:space="preserve">Amortization</t>
  </si>
  <si>
    <t xml:space="preserve">84-month amortization schedule for the new equipment term loan</t>
  </si>
  <si>
    <t xml:space="preserve">Color legend</t>
  </si>
  <si>
    <t xml:space="preserve">Blue text</t>
  </si>
  <si>
    <t xml:space="preserve">Hardcoded input or assumption</t>
  </si>
  <si>
    <t xml:space="preserve">Black text</t>
  </si>
  <si>
    <t xml:space="preserve">Formula on the same sheet</t>
  </si>
  <si>
    <t xml:space="preserve">Green text</t>
  </si>
  <si>
    <t xml:space="preserve">Formula linking to another sheet</t>
  </si>
  <si>
    <t xml:space="preserve">Yellow fill</t>
  </si>
  <si>
    <t xml:space="preserve">Key output or policy test</t>
  </si>
  <si>
    <t xml:space="preserve">Inputs &amp; Assumptions</t>
  </si>
  <si>
    <t xml:space="preserve">Blue cells are inputs. Change them and every tab recalculates.</t>
  </si>
  <si>
    <t xml:space="preserve">Deal terms</t>
  </si>
  <si>
    <t xml:space="preserve">Value</t>
  </si>
  <si>
    <t xml:space="preserve">Notes</t>
  </si>
  <si>
    <t xml:space="preserve">Equipment purchase price</t>
  </si>
  <si>
    <t xml:space="preserve">Fiber laser cutting system and two CNC press brakes, per vendor quote</t>
  </si>
  <si>
    <t xml:space="preserve">Advance rate on equipment cost</t>
  </si>
  <si>
    <t xml:space="preserve">Bank policy maximum for new manufacturing equipment</t>
  </si>
  <si>
    <t xml:space="preserve">New equipment term loan amount</t>
  </si>
  <si>
    <t xml:space="preserve">Calculated</t>
  </si>
  <si>
    <t xml:space="preserve">Term loan fixed rate</t>
  </si>
  <si>
    <t xml:space="preserve">Illustrative fixed rate</t>
  </si>
  <si>
    <t xml:space="preserve">Term loan amortization (months)</t>
  </si>
  <si>
    <t xml:space="preserve">7-year amortization, matching useful life</t>
  </si>
  <si>
    <t xml:space="preserve">Proposed RLOC commitment</t>
  </si>
  <si>
    <t xml:space="preserve">Increase from existing $1.0MM line</t>
  </si>
  <si>
    <t xml:space="preserve">Existing RLOC commitment</t>
  </si>
  <si>
    <t xml:space="preserve">SOFR assumption</t>
  </si>
  <si>
    <t xml:space="preserve">Illustrative. Update to current Term SOFR before use</t>
  </si>
  <si>
    <t xml:space="preserve">RLOC spread over SOFR</t>
  </si>
  <si>
    <t xml:space="preserve">RLOC all-in rate</t>
  </si>
  <si>
    <t xml:space="preserve">Assumed average RLOC usage</t>
  </si>
  <si>
    <t xml:space="preserve">60% of proposed commitment</t>
  </si>
  <si>
    <t xml:space="preserve">Existing term debt interest (next 12 months)</t>
  </si>
  <si>
    <t xml:space="preserve">From existing note schedule</t>
  </si>
  <si>
    <t xml:space="preserve">Existing term debt principal (next 12 months)</t>
  </si>
  <si>
    <t xml:space="preserve">Current portion of LTD at FYE 2025</t>
  </si>
  <si>
    <t xml:space="preserve">Existing term debt annual P&amp;I</t>
  </si>
  <si>
    <t xml:space="preserve">Equity injection: company cash</t>
  </si>
  <si>
    <t xml:space="preserve">Verified on FYE 2025 balance sheet</t>
  </si>
  <si>
    <t xml:space="preserve">Equity injection: guarantor contribution (Reyes)</t>
  </si>
  <si>
    <t xml:space="preserve">Verified on personal brokerage statement</t>
  </si>
  <si>
    <t xml:space="preserve">Total equity injection</t>
  </si>
  <si>
    <t xml:space="preserve">Should equal price less loan</t>
  </si>
  <si>
    <t xml:space="preserve">Equity injection check</t>
  </si>
  <si>
    <t xml:space="preserve">Must be zero</t>
  </si>
  <si>
    <t xml:space="preserve">Policy limits</t>
  </si>
  <si>
    <t xml:space="preserve">Minimum DSCR (business)</t>
  </si>
  <si>
    <t xml:space="preserve">Covenant tested annually</t>
  </si>
  <si>
    <t xml:space="preserve">Minimum global DSCR</t>
  </si>
  <si>
    <t xml:space="preserve">Maximum funded debt / EBITDA</t>
  </si>
  <si>
    <t xml:space="preserve">Minimum collateral coverage</t>
  </si>
  <si>
    <t xml:space="preserve">Historical items not on the spread</t>
  </si>
  <si>
    <t xml:space="preserve">FY2022 current portion of LTD</t>
  </si>
  <si>
    <t xml:space="preserve">Needed for FY2023 DSCR</t>
  </si>
  <si>
    <t xml:space="preserve">FY2023 capital expenditures</t>
  </si>
  <si>
    <t xml:space="preserve">From FY2023 cash flow statement</t>
  </si>
  <si>
    <t xml:space="preserve">Projection assumptions (Year 1)</t>
  </si>
  <si>
    <t xml:space="preserve">Revenue growth</t>
  </si>
  <si>
    <t xml:space="preserve">Backlog-supported, below 3-yr CAGR of 11.3%</t>
  </si>
  <si>
    <t xml:space="preserve">Gross margin improvement from in-sourcing</t>
  </si>
  <si>
    <t xml:space="preserve">Replaces outsourced laser cutting; management estimates 2.0%, haircut to 1.5%</t>
  </si>
  <si>
    <t xml:space="preserve">Officer compensation growth</t>
  </si>
  <si>
    <t xml:space="preserve">Held flat per management</t>
  </si>
  <si>
    <t xml:space="preserve">Other SG&amp;A growth</t>
  </si>
  <si>
    <t xml:space="preserve">New equipment useful life (years)</t>
  </si>
  <si>
    <t xml:space="preserve">Straight-line depreciation</t>
  </si>
  <si>
    <t xml:space="preserve">Distributions as % of net income</t>
  </si>
  <si>
    <t xml:space="preserve">Tax distributions plus modest owner draw</t>
  </si>
  <si>
    <t xml:space="preserve">Stress test assumptions</t>
  </si>
  <si>
    <t xml:space="preserve">Variable portion of COGS</t>
  </si>
  <si>
    <t xml:space="preserve">Materials and direct labor flex with volume</t>
  </si>
  <si>
    <t xml:space="preserve">Variable portion of other SG&amp;A</t>
  </si>
  <si>
    <t xml:space="preserve">Commissions and freight</t>
  </si>
  <si>
    <t xml:space="preserve">Financial Statement Spread</t>
  </si>
  <si>
    <t xml:space="preserve">Brazos Bend Fabrication, LLC  |  $ in dollars  |  FYE December 31  |  CPA-reviewed statements</t>
  </si>
  <si>
    <t xml:space="preserve">Income Statement</t>
  </si>
  <si>
    <t xml:space="preserve">FY2023</t>
  </si>
  <si>
    <t xml:space="preserve">FY2024</t>
  </si>
  <si>
    <t xml:space="preserve">FY2025</t>
  </si>
  <si>
    <t xml:space="preserve">FY23 %</t>
  </si>
  <si>
    <t xml:space="preserve">FY24 %</t>
  </si>
  <si>
    <t xml:space="preserve">FY25 %</t>
  </si>
  <si>
    <t xml:space="preserve">Revenue</t>
  </si>
  <si>
    <t xml:space="preserve">Cost of goods sold</t>
  </si>
  <si>
    <t xml:space="preserve">Gross profit</t>
  </si>
  <si>
    <t xml:space="preserve">Officer compensation</t>
  </si>
  <si>
    <t xml:space="preserve">Other SG&amp;A</t>
  </si>
  <si>
    <t xml:space="preserve">EBITDA</t>
  </si>
  <si>
    <t xml:space="preserve">Depreciation &amp; amortization</t>
  </si>
  <si>
    <t xml:space="preserve">EBIT</t>
  </si>
  <si>
    <t xml:space="preserve">Interest expense</t>
  </si>
  <si>
    <t xml:space="preserve">Other income (expense)</t>
  </si>
  <si>
    <t xml:space="preserve">Net income (pass-through, pre-tax)</t>
  </si>
  <si>
    <t xml:space="preserve">Distributions to members</t>
  </si>
  <si>
    <t xml:space="preserve">LLC taxed as a partnership: no entity-level income tax. Members receive K-1 income and take tax distributions.</t>
  </si>
  <si>
    <t xml:space="preserve">Balance Sheet</t>
  </si>
  <si>
    <t xml:space="preserve">Cash</t>
  </si>
  <si>
    <t xml:space="preserve">Accounts receivable</t>
  </si>
  <si>
    <t xml:space="preserve">Inventory</t>
  </si>
  <si>
    <t xml:space="preserve">Prepaids &amp; other current</t>
  </si>
  <si>
    <t xml:space="preserve">Total current assets</t>
  </si>
  <si>
    <t xml:space="preserve">Gross PP&amp;E</t>
  </si>
  <si>
    <t xml:space="preserve">Accumulated depreciation</t>
  </si>
  <si>
    <t xml:space="preserve">Net PP&amp;E</t>
  </si>
  <si>
    <t xml:space="preserve">Other assets</t>
  </si>
  <si>
    <t xml:space="preserve">Total assets</t>
  </si>
  <si>
    <t xml:space="preserve">Line of credit</t>
  </si>
  <si>
    <t xml:space="preserve">Current portion of LTD</t>
  </si>
  <si>
    <t xml:space="preserve">Accounts payable</t>
  </si>
  <si>
    <t xml:space="preserve">Accrued liabilities</t>
  </si>
  <si>
    <t xml:space="preserve">Total current liabilities</t>
  </si>
  <si>
    <t xml:space="preserve">Long-term debt, net of current</t>
  </si>
  <si>
    <t xml:space="preserve">Total liabilities</t>
  </si>
  <si>
    <t xml:space="preserve">Members' equity</t>
  </si>
  <si>
    <t xml:space="preserve">Total liabilities &amp; equity</t>
  </si>
  <si>
    <t xml:space="preserve">Balance check (must be zero)</t>
  </si>
  <si>
    <t xml:space="preserve">Equity Roll-Forward</t>
  </si>
  <si>
    <t xml:space="preserve">Beginning equity</t>
  </si>
  <si>
    <t xml:space="preserve">+ Net income</t>
  </si>
  <si>
    <t xml:space="preserve">- Distributions</t>
  </si>
  <si>
    <t xml:space="preserve">Ending equity (calculated)</t>
  </si>
  <si>
    <t xml:space="preserve">Variance vs reported (must be zero)</t>
  </si>
  <si>
    <t xml:space="preserve">Derived Cash Flow (indirect)</t>
  </si>
  <si>
    <t xml:space="preserve">Net income</t>
  </si>
  <si>
    <t xml:space="preserve">n/a</t>
  </si>
  <si>
    <t xml:space="preserve">+ Depreciation &amp; amortization</t>
  </si>
  <si>
    <t xml:space="preserve">(Increase) decrease in receivables</t>
  </si>
  <si>
    <t xml:space="preserve">(Increase) decrease in inventory</t>
  </si>
  <si>
    <t xml:space="preserve">(Increase) decrease in prepaids</t>
  </si>
  <si>
    <t xml:space="preserve">Increase (decrease) in payables</t>
  </si>
  <si>
    <t xml:space="preserve">Increase (decrease) in accrued</t>
  </si>
  <si>
    <t xml:space="preserve">Cash from operations</t>
  </si>
  <si>
    <t xml:space="preserve">Capital expenditures</t>
  </si>
  <si>
    <t xml:space="preserve">(Increase) decrease in other assets</t>
  </si>
  <si>
    <t xml:space="preserve">Net borrowings (repayments) on line</t>
  </si>
  <si>
    <t xml:space="preserve">Term debt principal repaid</t>
  </si>
  <si>
    <t xml:space="preserve">Distributions</t>
  </si>
  <si>
    <t xml:space="preserve">Net change in cash</t>
  </si>
  <si>
    <t xml:space="preserve">Check vs balance sheet cash (must be zero)</t>
  </si>
  <si>
    <t xml:space="preserve">Ratio Analysis</t>
  </si>
  <si>
    <t xml:space="preserve">All ratios link to the Spread tab</t>
  </si>
  <si>
    <t xml:space="preserve">Ratio</t>
  </si>
  <si>
    <t xml:space="preserve">How to read it</t>
  </si>
  <si>
    <t xml:space="preserve">Profitability</t>
  </si>
  <si>
    <t xml:space="preserve">Three-year trend shows steady double-digit growth</t>
  </si>
  <si>
    <t xml:space="preserve">Gross margin</t>
  </si>
  <si>
    <t xml:space="preserve">Improving as pricing passes through steel costs</t>
  </si>
  <si>
    <t xml:space="preserve">EBITDA margin</t>
  </si>
  <si>
    <t xml:space="preserve">Net margin</t>
  </si>
  <si>
    <t xml:space="preserve">Pre-tax, pass-through entity</t>
  </si>
  <si>
    <t xml:space="preserve">Liquidity</t>
  </si>
  <si>
    <t xml:space="preserve">Current ratio</t>
  </si>
  <si>
    <t xml:space="preserve">Current assets / current liabilities</t>
  </si>
  <si>
    <t xml:space="preserve">Quick ratio</t>
  </si>
  <si>
    <t xml:space="preserve">Excludes inventory and prepaids</t>
  </si>
  <si>
    <t xml:space="preserve">Working capital</t>
  </si>
  <si>
    <t xml:space="preserve">Working Capital Cycle</t>
  </si>
  <si>
    <t xml:space="preserve">Days sales outstanding (DSO)</t>
  </si>
  <si>
    <t xml:space="preserve">Creeping up; watch item</t>
  </si>
  <si>
    <t xml:space="preserve">Days inventory outstanding (DIO)</t>
  </si>
  <si>
    <t xml:space="preserve">Days payables outstanding (DPO)</t>
  </si>
  <si>
    <t xml:space="preserve">Cash conversion cycle (days)</t>
  </si>
  <si>
    <t xml:space="preserve">DSO + DIO - DPO</t>
  </si>
  <si>
    <t xml:space="preserve">Leverage</t>
  </si>
  <si>
    <t xml:space="preserve">Debt to worth</t>
  </si>
  <si>
    <t xml:space="preserve">Total liabilities / members' equity</t>
  </si>
  <si>
    <t xml:space="preserve">Funded debt</t>
  </si>
  <si>
    <t xml:space="preserve">Line + all term debt</t>
  </si>
  <si>
    <t xml:space="preserve">Funded debt / EBITDA</t>
  </si>
  <si>
    <t xml:space="preserve">Policy max 3.0x</t>
  </si>
  <si>
    <t xml:space="preserve">Coverage</t>
  </si>
  <si>
    <t xml:space="preserve">Prior-year CPLTD</t>
  </si>
  <si>
    <t xml:space="preserve">Principal due during the year</t>
  </si>
  <si>
    <t xml:space="preserve">Traditional DSCR</t>
  </si>
  <si>
    <t xml:space="preserve">(NI + D&amp;A + interest - distributions) / (prior CPLTD + interest)</t>
  </si>
  <si>
    <t xml:space="preserve">EBITDA DSCR</t>
  </si>
  <si>
    <t xml:space="preserve">Before distributions</t>
  </si>
  <si>
    <t xml:space="preserve">Fixed charge coverage</t>
  </si>
  <si>
    <t xml:space="preserve">(EBITDA - capex - distributions) / (prior CPLTD + interest). Capex in FY24-25 was funded from cash</t>
  </si>
  <si>
    <t xml:space="preserve">Pro Forma Debt Service Coverage</t>
  </si>
  <si>
    <t xml:space="preserve">Section A: FY2025 actual cash flow against post-closing debt service. Section B: projected first full year with new equipment.</t>
  </si>
  <si>
    <t xml:space="preserve">A. Historical Pro Forma (FY2025 base)</t>
  </si>
  <si>
    <t xml:space="preserve">Amount</t>
  </si>
  <si>
    <t xml:space="preserve">Net income FY2025</t>
  </si>
  <si>
    <t xml:space="preserve">+ Interest expense</t>
  </si>
  <si>
    <t xml:space="preserve">Historical interest added back; replaced by pro forma debt service below</t>
  </si>
  <si>
    <t xml:space="preserve">Deducted because members rely on them for taxes</t>
  </si>
  <si>
    <t xml:space="preserve">Cash flow available for debt service (CFADS)</t>
  </si>
  <si>
    <t xml:space="preserve">Existing term debt P&amp;I</t>
  </si>
  <si>
    <t xml:space="preserve">New equipment term loan P&amp;I</t>
  </si>
  <si>
    <t xml:space="preserve">Level monthly payment x 12</t>
  </si>
  <si>
    <t xml:space="preserve">RLOC interest at assumed usage</t>
  </si>
  <si>
    <t xml:space="preserve">Interest-only revolver</t>
  </si>
  <si>
    <t xml:space="preserve">Total pro forma debt service</t>
  </si>
  <si>
    <t xml:space="preserve">Pro forma DSCR</t>
  </si>
  <si>
    <t xml:space="preserve">Policy minimum</t>
  </si>
  <si>
    <t xml:space="preserve">Result</t>
  </si>
  <si>
    <t xml:space="preserve">Excess cash flow after debt service</t>
  </si>
  <si>
    <t xml:space="preserve">Pro forma funded debt / EBITDA</t>
  </si>
  <si>
    <t xml:space="preserve">Assumes line balance unchanged</t>
  </si>
  <si>
    <t xml:space="preserve">Leverage result</t>
  </si>
  <si>
    <t xml:space="preserve">B. Projected Year 1 (first full year post-installation)</t>
  </si>
  <si>
    <t xml:space="preserve">FY2025 x (1 + growth)</t>
  </si>
  <si>
    <t xml:space="preserve">FY2025 COGS % less in-sourcing savings</t>
  </si>
  <si>
    <t xml:space="preserve">Depreciation (existing + new equipment)</t>
  </si>
  <si>
    <t xml:space="preserve">Interest (existing + new loan Yr1 + RLOC)</t>
  </si>
  <si>
    <t xml:space="preserve">CFADS (EBITDA - distributions)</t>
  </si>
  <si>
    <t xml:space="preserve">Equivalent to NI + D&amp;A + interest - distributions</t>
  </si>
  <si>
    <t xml:space="preserve">Total debt service</t>
  </si>
  <si>
    <t xml:space="preserve">Projected DSCR</t>
  </si>
  <si>
    <t xml:space="preserve">Global Cash Flow Analysis</t>
  </si>
  <si>
    <t xml:space="preserve">Business cash flow after distributions plus guarantor personal cash flow, against all business and personal debt service (FY2025 tax year)</t>
  </si>
  <si>
    <t xml:space="preserve">Guarantor personal cash flow</t>
  </si>
  <si>
    <t xml:space="preserve">D. Reyes</t>
  </si>
  <si>
    <t xml:space="preserve">A. Brooks</t>
  </si>
  <si>
    <t xml:space="preserve">Combined</t>
  </si>
  <si>
    <t xml:space="preserve">Ownership %</t>
  </si>
  <si>
    <t xml:space="preserve">Per operating agreement</t>
  </si>
  <si>
    <t xml:space="preserve">W-2 officer compensation</t>
  </si>
  <si>
    <t xml:space="preserve">Ties to FY2025 officer compensation</t>
  </si>
  <si>
    <t xml:space="preserve">K-1 distributions received</t>
  </si>
  <si>
    <t xml:space="preserve">K-1 taxable income</t>
  </si>
  <si>
    <t xml:space="preserve">Taxed whether or not distributed</t>
  </si>
  <si>
    <t xml:space="preserve">Other income (rental NOI)</t>
  </si>
  <si>
    <t xml:space="preserve">Reyes owns one rental property</t>
  </si>
  <si>
    <t xml:space="preserve">Estimated effective personal tax rate</t>
  </si>
  <si>
    <t xml:space="preserve">From 2025 personal returns</t>
  </si>
  <si>
    <t xml:space="preserve">Personal income taxes</t>
  </si>
  <si>
    <t xml:space="preserve">Applied to taxable income, not cash received</t>
  </si>
  <si>
    <t xml:space="preserve">Living expenses</t>
  </si>
  <si>
    <t xml:space="preserve">Per personal financial statement</t>
  </si>
  <si>
    <t xml:space="preserve">Personal cash available for debt service</t>
  </si>
  <si>
    <t xml:space="preserve">Residence mortgage</t>
  </si>
  <si>
    <t xml:space="preserve">Annual payments per credit report</t>
  </si>
  <si>
    <t xml:space="preserve">Auto loans</t>
  </si>
  <si>
    <t xml:space="preserve">Rental property mortgage</t>
  </si>
  <si>
    <t xml:space="preserve">Total personal debt service</t>
  </si>
  <si>
    <t xml:space="preserve">Personal coverage</t>
  </si>
  <si>
    <t xml:space="preserve">Global debt service coverage</t>
  </si>
  <si>
    <t xml:space="preserve">Business CFADS (after distributions)</t>
  </si>
  <si>
    <t xml:space="preserve">Distributions already removed, so no double count</t>
  </si>
  <si>
    <t xml:space="preserve">+ Personal cash available</t>
  </si>
  <si>
    <t xml:space="preserve">Global cash available</t>
  </si>
  <si>
    <t xml:space="preserve">Business pro forma debt service</t>
  </si>
  <si>
    <t xml:space="preserve">+ Personal debt service</t>
  </si>
  <si>
    <t xml:space="preserve">Global debt service</t>
  </si>
  <si>
    <t xml:space="preserve">Global DSCR</t>
  </si>
  <si>
    <t xml:space="preserve">Guarantor balance sheet strength</t>
  </si>
  <si>
    <t xml:space="preserve">Liquid assets (cash + marketable securities)</t>
  </si>
  <si>
    <t xml:space="preserve">Verified statements, Sept 2026</t>
  </si>
  <si>
    <t xml:space="preserve">Less: equity injection</t>
  </si>
  <si>
    <t xml:space="preserve">Post-closing liquidity</t>
  </si>
  <si>
    <t xml:space="preserve">Adjusted net worth</t>
  </si>
  <si>
    <t xml:space="preserve">Excludes business interest</t>
  </si>
  <si>
    <t xml:space="preserve">Contingent liabilities</t>
  </si>
  <si>
    <t xml:space="preserve">No other guarantees disclosed</t>
  </si>
  <si>
    <t xml:space="preserve">Post-closing liquidity / annual business debt service</t>
  </si>
  <si>
    <t xml:space="preserve">Stress Test &amp; Sensitivity</t>
  </si>
  <si>
    <t xml:space="preserve">Shocks applied to FY2025 historical pro forma. Distributions flex with net income at the FY2025 payout ratio.</t>
  </si>
  <si>
    <t xml:space="preserve">Base revenue</t>
  </si>
  <si>
    <t xml:space="preserve">Contribution margin ratio</t>
  </si>
  <si>
    <t xml:space="preserve">Base CFADS</t>
  </si>
  <si>
    <t xml:space="preserve">Base debt service</t>
  </si>
  <si>
    <t xml:space="preserve">Distribution payout ratio</t>
  </si>
  <si>
    <t xml:space="preserve">Scenario</t>
  </si>
  <si>
    <t xml:space="preserve">Revenue shock</t>
  </si>
  <si>
    <t xml:space="preserve">Gross margin shock</t>
  </si>
  <si>
    <t xml:space="preserve">Rate shock</t>
  </si>
  <si>
    <t xml:space="preserve">EBITDA impact</t>
  </si>
  <si>
    <t xml:space="preserve">Distribution offset</t>
  </si>
  <si>
    <t xml:space="preserve">Stressed CFADS</t>
  </si>
  <si>
    <t xml:space="preserve">Debt service</t>
  </si>
  <si>
    <t xml:space="preserve">DSCR</t>
  </si>
  <si>
    <t xml:space="preserve">Base case</t>
  </si>
  <si>
    <t xml:space="preserve">Revenue down 10%</t>
  </si>
  <si>
    <t xml:space="preserve">Revenue down 20%</t>
  </si>
  <si>
    <t xml:space="preserve">Gross margin down 200 bps</t>
  </si>
  <si>
    <t xml:space="preserve">Rates up 200 bps</t>
  </si>
  <si>
    <t xml:space="preserve">Combined: Rev -10%, GM -100 bps, +200 bps</t>
  </si>
  <si>
    <t xml:space="preserve">PASS = meets 1.25x covenant. WATCH = still covers debt service (1.00x to 1.24x). FAIL = below 1.00x.</t>
  </si>
  <si>
    <t xml:space="preserve">Breakeven analysis</t>
  </si>
  <si>
    <t xml:space="preserve">Revenue decline to reach 1.25x DSCR</t>
  </si>
  <si>
    <t xml:space="preserve">Revenue decline to reach 1.00x DSCR</t>
  </si>
  <si>
    <t xml:space="preserve">Revenue at 1.00x DSCR</t>
  </si>
  <si>
    <t xml:space="preserve">Collateral Coverage &amp; Borrowing Base</t>
  </si>
  <si>
    <t xml:space="preserve">All business assets pledged under a blanket lien; new equipment under a first-priority purchase money lien</t>
  </si>
  <si>
    <t xml:space="preserve">Collateral</t>
  </si>
  <si>
    <t xml:space="preserve">Book / cost</t>
  </si>
  <si>
    <t xml:space="preserve">Advance</t>
  </si>
  <si>
    <t xml:space="preserve">Lendable value</t>
  </si>
  <si>
    <t xml:space="preserve">Basis</t>
  </si>
  <si>
    <t xml:space="preserve">Eligible A/R, see borrowing base below</t>
  </si>
  <si>
    <t xml:space="preserve">Raw steel and finished goods</t>
  </si>
  <si>
    <t xml:space="preserve">Existing equipment (net book value)</t>
  </si>
  <si>
    <t xml:space="preserve">Desktop orderly liquidation estimate</t>
  </si>
  <si>
    <t xml:space="preserve">New equipment (cost)</t>
  </si>
  <si>
    <t xml:space="preserve">New fiber lasers hold value well; vendor resale data</t>
  </si>
  <si>
    <t xml:space="preserve">Total lendable collateral</t>
  </si>
  <si>
    <t xml:space="preserve">Total relationship exposure</t>
  </si>
  <si>
    <t xml:space="preserve">Existing term debt</t>
  </si>
  <si>
    <t xml:space="preserve">New equipment term loan</t>
  </si>
  <si>
    <t xml:space="preserve">RLOC commitment (fully drawn)</t>
  </si>
  <si>
    <t xml:space="preserve">Total exposure</t>
  </si>
  <si>
    <t xml:space="preserve">Collateral coverage</t>
  </si>
  <si>
    <t xml:space="preserve">New equipment loan-to-cost</t>
  </si>
  <si>
    <t xml:space="preserve">Borrowing Base Certificate (as of 12/31/2025)</t>
  </si>
  <si>
    <t xml:space="preserve">A/R aging: current</t>
  </si>
  <si>
    <t xml:space="preserve">A/R aging: 31 to 60 days</t>
  </si>
  <si>
    <t xml:space="preserve">A/R aging: 61 to 90 days</t>
  </si>
  <si>
    <t xml:space="preserve">A/R aging: over 90 days</t>
  </si>
  <si>
    <t xml:space="preserve">Total A/R</t>
  </si>
  <si>
    <t xml:space="preserve">Tie-out to balance sheet (must be zero)</t>
  </si>
  <si>
    <t xml:space="preserve">Less: over 90 days</t>
  </si>
  <si>
    <t xml:space="preserve">Less: affiliate and contra accounts</t>
  </si>
  <si>
    <t xml:space="preserve">Eligible A/R</t>
  </si>
  <si>
    <t xml:space="preserve">A/R advance rate</t>
  </si>
  <si>
    <t xml:space="preserve">A/R availability</t>
  </si>
  <si>
    <t xml:space="preserve">Inventory: raw materials</t>
  </si>
  <si>
    <t xml:space="preserve">Inventory: work in process</t>
  </si>
  <si>
    <t xml:space="preserve">Inventory: finished goods</t>
  </si>
  <si>
    <t xml:space="preserve">Eligible inventory (excludes WIP)</t>
  </si>
  <si>
    <t xml:space="preserve">Inventory advance rate</t>
  </si>
  <si>
    <t xml:space="preserve">Inventory sublimit cap</t>
  </si>
  <si>
    <t xml:space="preserve">Inventory availability</t>
  </si>
  <si>
    <t xml:space="preserve">Total borrowing base</t>
  </si>
  <si>
    <t xml:space="preserve">Lesser of borrowing base or commitment</t>
  </si>
  <si>
    <t xml:space="preserve">Less: outstanding balance</t>
  </si>
  <si>
    <t xml:space="preserve">Net availability</t>
  </si>
  <si>
    <t xml:space="preserve">Risk Rating Scorecard</t>
  </si>
  <si>
    <t xml:space="preserve">9-point scale: 1 = lowest risk, 9 = highest. Quantitative scores pull from the model; qualitative scores are analyst judgment (blue).</t>
  </si>
  <si>
    <t xml:space="preserve">Scoring thresholds (lower bound of each band)</t>
  </si>
  <si>
    <t xml:space="preserve">Factor</t>
  </si>
  <si>
    <t xml:space="preserve">Metric</t>
  </si>
  <si>
    <t xml:space="preserve">Score</t>
  </si>
  <si>
    <t xml:space="preserve">Weight</t>
  </si>
  <si>
    <t xml:space="preserve">Weighted</t>
  </si>
  <si>
    <t xml:space="preserve">Rationale</t>
  </si>
  <si>
    <t xml:space="preserve">DSCR band</t>
  </si>
  <si>
    <t xml:space="preserve">Repayment capacity (pro forma DSCR)</t>
  </si>
  <si>
    <t xml:space="preserve">Historical pro forma covers new debt at about 1.3x; projected Year 1 is stronger</t>
  </si>
  <si>
    <t xml:space="preserve">DSCR score</t>
  </si>
  <si>
    <t xml:space="preserve">Leverage (pro forma funded debt / EBITDA)</t>
  </si>
  <si>
    <t xml:space="preserve">Moderate leverage after funding, well inside 3.0x covenant</t>
  </si>
  <si>
    <t xml:space="preserve">Liquidity (current ratio)</t>
  </si>
  <si>
    <t xml:space="preserve">Adequate; line availability supports working capital</t>
  </si>
  <si>
    <t xml:space="preserve">Leverage band</t>
  </si>
  <si>
    <t xml:space="preserve">Management &amp; ownership</t>
  </si>
  <si>
    <t xml:space="preserve">Qualitative</t>
  </si>
  <si>
    <t xml:space="preserve">Owners have 20+ years in fabrication; CPA-reviewed statements; clean reporting history</t>
  </si>
  <si>
    <t xml:space="preserve">Leverage score</t>
  </si>
  <si>
    <t xml:space="preserve">Industry risk</t>
  </si>
  <si>
    <t xml:space="preserve">Cyclical demand tied to construction and energy; steel tariffs raise input cost volatility</t>
  </si>
  <si>
    <t xml:space="preserve">Blanket lien plus PMSI on new equipment</t>
  </si>
  <si>
    <t xml:space="preserve">Current band</t>
  </si>
  <si>
    <t xml:space="preserve">Guarantor support</t>
  </si>
  <si>
    <t xml:space="preserve">Combined post-closing liquidity of about $550K and adjusted net worth of $6.0MM</t>
  </si>
  <si>
    <t xml:space="preserve">Current score</t>
  </si>
  <si>
    <t xml:space="preserve">Total</t>
  </si>
  <si>
    <t xml:space="preserve">Collateral band</t>
  </si>
  <si>
    <t xml:space="preserve">Composite score</t>
  </si>
  <si>
    <t xml:space="preserve">Collateral score</t>
  </si>
  <si>
    <t xml:space="preserve">Recommended risk rating</t>
  </si>
  <si>
    <t xml:space="preserve">Rating description</t>
  </si>
  <si>
    <t xml:space="preserve">Rating scale</t>
  </si>
  <si>
    <t xml:space="preserve">Description</t>
  </si>
  <si>
    <t xml:space="preserve">Exceptional</t>
  </si>
  <si>
    <t xml:space="preserve">Strong</t>
  </si>
  <si>
    <t xml:space="preserve">Good</t>
  </si>
  <si>
    <t xml:space="preserve">Satisfactory</t>
  </si>
  <si>
    <t xml:space="preserve">Acceptable</t>
  </si>
  <si>
    <t xml:space="preserve">Watch</t>
  </si>
  <si>
    <t xml:space="preserve">Special Mention</t>
  </si>
  <si>
    <t xml:space="preserve">Substandard</t>
  </si>
  <si>
    <t xml:space="preserve">Doubtful</t>
  </si>
  <si>
    <t xml:space="preserve">Equipment Term Loan Amortization</t>
  </si>
  <si>
    <t xml:space="preserve">Level monthly payments, fixed rate</t>
  </si>
  <si>
    <t xml:space="preserve">Year 1 interest</t>
  </si>
  <si>
    <t xml:space="preserve">Year 1 principal</t>
  </si>
  <si>
    <t xml:space="preserve">Monthly payment</t>
  </si>
  <si>
    <t xml:space="preserve">Month</t>
  </si>
  <si>
    <t xml:space="preserve">Beginning balance</t>
  </si>
  <si>
    <t xml:space="preserve">Payment</t>
  </si>
  <si>
    <t xml:space="preserve">Interest</t>
  </si>
  <si>
    <t xml:space="preserve">Principal</t>
  </si>
  <si>
    <t xml:space="preserve">Year</t>
  </si>
  <si>
    <t xml:space="preserve">Payments</t>
  </si>
  <si>
    <t xml:space="preserve">Ending balance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</si>
  <si>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</si>
  <si>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</si>
  <si>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</si>
  <si>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</si>
  <si>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</si>
  <si>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</si>
  <si>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</si>
  <si>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Ending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</si>
</sst>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0.00\x"/>
    <numFmt numFmtId="169" formatCode="0.0"/>
    <numFmt numFmtId="170" formatCode="0.00"/>
    <numFmt numFmtId="171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8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30" hidden="false" customHeight="true" outlineLevel="0" collapsed="false">
      <c r="B6" s="4" t="s">
        <v>3</v>
      </c>
      <c r="C6" s="4"/>
    </row>
    <row r="8" customFormat="false" ht="15" hidden="false" customHeight="false" outlineLevel="0" collapsed="false">
      <c r="B8" s="5" t="s">
        <v>4</v>
      </c>
      <c r="C8" s="6" t="s">
        <v>5</v>
      </c>
    </row>
    <row r="9" customFormat="false" ht="15" hidden="false" customHeight="false" outlineLevel="0" collapsed="false">
      <c r="B9" s="7" t="s">
        <v>6</v>
      </c>
      <c r="C9" s="8" t="s">
        <v>7</v>
      </c>
    </row>
    <row r="10" customFormat="false" ht="15" hidden="false" customHeight="false" outlineLevel="0" collapsed="false">
      <c r="B10" s="7" t="s">
        <v>8</v>
      </c>
      <c r="C10" s="8" t="s">
        <v>9</v>
      </c>
    </row>
    <row r="11" customFormat="false" ht="15" hidden="false" customHeight="false" outlineLevel="0" collapsed="false">
      <c r="B11" s="7" t="s">
        <v>10</v>
      </c>
      <c r="C11" s="8" t="s">
        <v>11</v>
      </c>
    </row>
    <row r="12" customFormat="false" ht="15" hidden="false" customHeight="false" outlineLevel="0" collapsed="false">
      <c r="B12" s="7" t="s">
        <v>12</v>
      </c>
      <c r="C12" s="8" t="s">
        <v>13</v>
      </c>
    </row>
    <row r="13" customFormat="false" ht="15" hidden="false" customHeight="false" outlineLevel="0" collapsed="false">
      <c r="B13" s="7" t="s">
        <v>14</v>
      </c>
      <c r="C13" s="8" t="s">
        <v>15</v>
      </c>
    </row>
    <row r="14" customFormat="false" ht="15" hidden="false" customHeight="false" outlineLevel="0" collapsed="false">
      <c r="B14" s="7" t="s">
        <v>16</v>
      </c>
      <c r="C14" s="8" t="s">
        <v>17</v>
      </c>
    </row>
    <row r="15" customFormat="false" ht="15" hidden="false" customHeight="false" outlineLevel="0" collapsed="false">
      <c r="B15" s="7" t="s">
        <v>18</v>
      </c>
      <c r="C15" s="8" t="s">
        <v>19</v>
      </c>
    </row>
    <row r="16" customFormat="false" ht="15" hidden="false" customHeight="false" outlineLevel="0" collapsed="false">
      <c r="B16" s="7" t="s">
        <v>20</v>
      </c>
      <c r="C16" s="8" t="s">
        <v>21</v>
      </c>
    </row>
    <row r="17" customFormat="false" ht="15" hidden="false" customHeight="false" outlineLevel="0" collapsed="false">
      <c r="B17" s="7" t="s">
        <v>22</v>
      </c>
      <c r="C17" s="8" t="s">
        <v>23</v>
      </c>
    </row>
    <row r="19" customFormat="false" ht="15" hidden="false" customHeight="false" outlineLevel="0" collapsed="false">
      <c r="B19" s="5" t="s">
        <v>24</v>
      </c>
      <c r="C19" s="6"/>
    </row>
    <row r="20" customFormat="false" ht="15" hidden="false" customHeight="false" outlineLevel="0" collapsed="false">
      <c r="B20" s="9" t="s">
        <v>25</v>
      </c>
      <c r="C20" s="8" t="s">
        <v>26</v>
      </c>
    </row>
    <row r="21" customFormat="false" ht="15" hidden="false" customHeight="false" outlineLevel="0" collapsed="false">
      <c r="B21" s="8" t="s">
        <v>27</v>
      </c>
      <c r="C21" s="8" t="s">
        <v>28</v>
      </c>
    </row>
    <row r="22" customFormat="false" ht="15" hidden="false" customHeight="false" outlineLevel="0" collapsed="false">
      <c r="B22" s="10" t="s">
        <v>29</v>
      </c>
      <c r="C22" s="8" t="s">
        <v>30</v>
      </c>
    </row>
    <row r="23" customFormat="false" ht="15" hidden="false" customHeight="false" outlineLevel="0" collapsed="false">
      <c r="B23" s="11" t="s">
        <v>31</v>
      </c>
      <c r="C23" s="8" t="s">
        <v>32</v>
      </c>
    </row>
  </sheetData>
  <mergeCells count="1">
    <mergeCell ref="B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2" t="s">
        <v>33</v>
      </c>
    </row>
    <row r="2" customFormat="false" ht="15" hidden="false" customHeight="false" outlineLevel="0" collapsed="false">
      <c r="A2" s="3" t="s">
        <v>34</v>
      </c>
    </row>
    <row r="4" customFormat="false" ht="15" hidden="false" customHeight="false" outlineLevel="0" collapsed="false">
      <c r="A4" s="5" t="s">
        <v>35</v>
      </c>
      <c r="B4" s="6" t="s">
        <v>36</v>
      </c>
      <c r="C4" s="6" t="s">
        <v>37</v>
      </c>
    </row>
    <row r="5" customFormat="false" ht="15" hidden="false" customHeight="false" outlineLevel="0" collapsed="false">
      <c r="A5" s="8" t="s">
        <v>38</v>
      </c>
      <c r="B5" s="13" t="n">
        <v>3500000</v>
      </c>
      <c r="C5" s="3" t="s">
        <v>39</v>
      </c>
    </row>
    <row r="6" customFormat="false" ht="15" hidden="false" customHeight="false" outlineLevel="0" collapsed="false">
      <c r="A6" s="8" t="s">
        <v>40</v>
      </c>
      <c r="B6" s="14" t="n">
        <v>0.8</v>
      </c>
      <c r="C6" s="3" t="s">
        <v>41</v>
      </c>
    </row>
    <row r="7" customFormat="false" ht="15" hidden="false" customHeight="false" outlineLevel="0" collapsed="false">
      <c r="A7" s="8" t="s">
        <v>42</v>
      </c>
      <c r="B7" s="15" t="n">
        <f aca="false">B5*B6</f>
        <v>2800000</v>
      </c>
      <c r="C7" s="3" t="s">
        <v>43</v>
      </c>
    </row>
    <row r="8" customFormat="false" ht="15" hidden="false" customHeight="false" outlineLevel="0" collapsed="false">
      <c r="A8" s="8" t="s">
        <v>44</v>
      </c>
      <c r="B8" s="14" t="n">
        <v>0.0725</v>
      </c>
      <c r="C8" s="3" t="s">
        <v>45</v>
      </c>
    </row>
    <row r="9" customFormat="false" ht="15" hidden="false" customHeight="false" outlineLevel="0" collapsed="false">
      <c r="A9" s="8" t="s">
        <v>46</v>
      </c>
      <c r="B9" s="16" t="n">
        <v>84</v>
      </c>
      <c r="C9" s="3" t="s">
        <v>47</v>
      </c>
    </row>
    <row r="10" customFormat="false" ht="15" hidden="false" customHeight="false" outlineLevel="0" collapsed="false">
      <c r="A10" s="8" t="s">
        <v>48</v>
      </c>
      <c r="B10" s="13" t="n">
        <v>1500000</v>
      </c>
      <c r="C10" s="3" t="s">
        <v>49</v>
      </c>
    </row>
    <row r="11" customFormat="false" ht="15" hidden="false" customHeight="false" outlineLevel="0" collapsed="false">
      <c r="A11" s="8" t="s">
        <v>50</v>
      </c>
      <c r="B11" s="13" t="n">
        <v>1000000</v>
      </c>
      <c r="C11" s="3"/>
    </row>
    <row r="12" customFormat="false" ht="15" hidden="false" customHeight="false" outlineLevel="0" collapsed="false">
      <c r="A12" s="8" t="s">
        <v>51</v>
      </c>
      <c r="B12" s="14" t="n">
        <v>0.04</v>
      </c>
      <c r="C12" s="3" t="s">
        <v>52</v>
      </c>
    </row>
    <row r="13" customFormat="false" ht="15" hidden="false" customHeight="false" outlineLevel="0" collapsed="false">
      <c r="A13" s="8" t="s">
        <v>53</v>
      </c>
      <c r="B13" s="14" t="n">
        <v>0.0275</v>
      </c>
      <c r="C13" s="3"/>
    </row>
    <row r="14" customFormat="false" ht="15" hidden="false" customHeight="false" outlineLevel="0" collapsed="false">
      <c r="A14" s="8" t="s">
        <v>54</v>
      </c>
      <c r="B14" s="17" t="n">
        <f aca="false">B12+B13</f>
        <v>0.0675</v>
      </c>
      <c r="C14" s="3" t="s">
        <v>43</v>
      </c>
    </row>
    <row r="15" customFormat="false" ht="15" hidden="false" customHeight="false" outlineLevel="0" collapsed="false">
      <c r="A15" s="8" t="s">
        <v>55</v>
      </c>
      <c r="B15" s="13" t="n">
        <v>900000</v>
      </c>
      <c r="C15" s="3" t="s">
        <v>56</v>
      </c>
    </row>
    <row r="16" customFormat="false" ht="15" hidden="false" customHeight="false" outlineLevel="0" collapsed="false">
      <c r="A16" s="8" t="s">
        <v>57</v>
      </c>
      <c r="B16" s="13" t="n">
        <v>105000</v>
      </c>
      <c r="C16" s="3" t="s">
        <v>58</v>
      </c>
    </row>
    <row r="17" customFormat="false" ht="15" hidden="false" customHeight="false" outlineLevel="0" collapsed="false">
      <c r="A17" s="8" t="s">
        <v>59</v>
      </c>
      <c r="B17" s="18" t="n">
        <f aca="false">Spread!D31</f>
        <v>560000</v>
      </c>
      <c r="C17" s="3" t="s">
        <v>60</v>
      </c>
    </row>
    <row r="18" customFormat="false" ht="15" hidden="false" customHeight="false" outlineLevel="0" collapsed="false">
      <c r="A18" s="8" t="s">
        <v>61</v>
      </c>
      <c r="B18" s="15" t="n">
        <f aca="false">B16+B17</f>
        <v>665000</v>
      </c>
      <c r="C18" s="3" t="s">
        <v>43</v>
      </c>
    </row>
    <row r="19" customFormat="false" ht="15" hidden="false" customHeight="false" outlineLevel="0" collapsed="false">
      <c r="A19" s="8" t="s">
        <v>62</v>
      </c>
      <c r="B19" s="13" t="n">
        <v>300000</v>
      </c>
      <c r="C19" s="3" t="s">
        <v>63</v>
      </c>
    </row>
    <row r="20" customFormat="false" ht="15" hidden="false" customHeight="false" outlineLevel="0" collapsed="false">
      <c r="A20" s="8" t="s">
        <v>64</v>
      </c>
      <c r="B20" s="13" t="n">
        <v>400000</v>
      </c>
      <c r="C20" s="3" t="s">
        <v>65</v>
      </c>
    </row>
    <row r="21" customFormat="false" ht="15" hidden="false" customHeight="false" outlineLevel="0" collapsed="false">
      <c r="A21" s="8" t="s">
        <v>66</v>
      </c>
      <c r="B21" s="15" t="n">
        <f aca="false">B19+B20</f>
        <v>700000</v>
      </c>
      <c r="C21" s="3" t="s">
        <v>67</v>
      </c>
    </row>
    <row r="22" customFormat="false" ht="15" hidden="false" customHeight="false" outlineLevel="0" collapsed="false">
      <c r="A22" s="8" t="s">
        <v>68</v>
      </c>
      <c r="B22" s="15" t="n">
        <f aca="false">B21-(B5-B7)</f>
        <v>0</v>
      </c>
      <c r="C22" s="3" t="s">
        <v>69</v>
      </c>
    </row>
    <row r="24" customFormat="false" ht="15" hidden="false" customHeight="false" outlineLevel="0" collapsed="false">
      <c r="A24" s="5" t="s">
        <v>70</v>
      </c>
      <c r="B24" s="6" t="s">
        <v>36</v>
      </c>
      <c r="C24" s="6" t="s">
        <v>37</v>
      </c>
    </row>
    <row r="25" customFormat="false" ht="15" hidden="false" customHeight="false" outlineLevel="0" collapsed="false">
      <c r="A25" s="8" t="s">
        <v>71</v>
      </c>
      <c r="B25" s="19" t="n">
        <v>1.25</v>
      </c>
      <c r="C25" s="3" t="s">
        <v>72</v>
      </c>
    </row>
    <row r="26" customFormat="false" ht="15" hidden="false" customHeight="false" outlineLevel="0" collapsed="false">
      <c r="A26" s="8" t="s">
        <v>73</v>
      </c>
      <c r="B26" s="19" t="n">
        <v>1.2</v>
      </c>
      <c r="C26" s="3"/>
    </row>
    <row r="27" customFormat="false" ht="15" hidden="false" customHeight="false" outlineLevel="0" collapsed="false">
      <c r="A27" s="8" t="s">
        <v>74</v>
      </c>
      <c r="B27" s="19" t="n">
        <v>3</v>
      </c>
      <c r="C27" s="3" t="s">
        <v>72</v>
      </c>
    </row>
    <row r="28" customFormat="false" ht="15" hidden="false" customHeight="false" outlineLevel="0" collapsed="false">
      <c r="A28" s="8" t="s">
        <v>75</v>
      </c>
      <c r="B28" s="19" t="n">
        <v>1</v>
      </c>
      <c r="C28" s="3"/>
    </row>
    <row r="30" customFormat="false" ht="15" hidden="false" customHeight="false" outlineLevel="0" collapsed="false">
      <c r="A30" s="5" t="s">
        <v>76</v>
      </c>
      <c r="B30" s="6" t="s">
        <v>36</v>
      </c>
      <c r="C30" s="6" t="s">
        <v>37</v>
      </c>
    </row>
    <row r="31" customFormat="false" ht="15" hidden="false" customHeight="false" outlineLevel="0" collapsed="false">
      <c r="A31" s="8" t="s">
        <v>77</v>
      </c>
      <c r="B31" s="13" t="n">
        <v>500000</v>
      </c>
      <c r="C31" s="3" t="s">
        <v>78</v>
      </c>
    </row>
    <row r="32" customFormat="false" ht="15" hidden="false" customHeight="false" outlineLevel="0" collapsed="false">
      <c r="A32" s="8" t="s">
        <v>79</v>
      </c>
      <c r="B32" s="13" t="n">
        <v>600000</v>
      </c>
      <c r="C32" s="3" t="s">
        <v>80</v>
      </c>
    </row>
    <row r="34" customFormat="false" ht="15" hidden="false" customHeight="false" outlineLevel="0" collapsed="false">
      <c r="A34" s="5" t="s">
        <v>81</v>
      </c>
      <c r="B34" s="6" t="s">
        <v>36</v>
      </c>
      <c r="C34" s="6" t="s">
        <v>37</v>
      </c>
    </row>
    <row r="35" customFormat="false" ht="15" hidden="false" customHeight="false" outlineLevel="0" collapsed="false">
      <c r="A35" s="8" t="s">
        <v>82</v>
      </c>
      <c r="B35" s="14" t="n">
        <v>0.06</v>
      </c>
      <c r="C35" s="3" t="s">
        <v>83</v>
      </c>
    </row>
    <row r="36" customFormat="false" ht="15" hidden="false" customHeight="false" outlineLevel="0" collapsed="false">
      <c r="A36" s="8" t="s">
        <v>84</v>
      </c>
      <c r="B36" s="14" t="n">
        <v>0.015</v>
      </c>
      <c r="C36" s="3" t="s">
        <v>85</v>
      </c>
    </row>
    <row r="37" customFormat="false" ht="15" hidden="false" customHeight="false" outlineLevel="0" collapsed="false">
      <c r="A37" s="8" t="s">
        <v>86</v>
      </c>
      <c r="B37" s="14" t="n">
        <v>0</v>
      </c>
      <c r="C37" s="3" t="s">
        <v>87</v>
      </c>
    </row>
    <row r="38" customFormat="false" ht="15" hidden="false" customHeight="false" outlineLevel="0" collapsed="false">
      <c r="A38" s="8" t="s">
        <v>88</v>
      </c>
      <c r="B38" s="14" t="n">
        <v>0.04</v>
      </c>
      <c r="C38" s="3"/>
    </row>
    <row r="39" customFormat="false" ht="15" hidden="false" customHeight="false" outlineLevel="0" collapsed="false">
      <c r="A39" s="8" t="s">
        <v>89</v>
      </c>
      <c r="B39" s="16" t="n">
        <v>7</v>
      </c>
      <c r="C39" s="3" t="s">
        <v>90</v>
      </c>
    </row>
    <row r="40" customFormat="false" ht="15" hidden="false" customHeight="false" outlineLevel="0" collapsed="false">
      <c r="A40" s="8" t="s">
        <v>91</v>
      </c>
      <c r="B40" s="14" t="n">
        <v>0.45</v>
      </c>
      <c r="C40" s="3" t="s">
        <v>92</v>
      </c>
    </row>
    <row r="42" customFormat="false" ht="15" hidden="false" customHeight="false" outlineLevel="0" collapsed="false">
      <c r="A42" s="5" t="s">
        <v>93</v>
      </c>
      <c r="B42" s="6" t="s">
        <v>36</v>
      </c>
      <c r="C42" s="6" t="s">
        <v>37</v>
      </c>
    </row>
    <row r="43" customFormat="false" ht="15" hidden="false" customHeight="false" outlineLevel="0" collapsed="false">
      <c r="A43" s="8" t="s">
        <v>94</v>
      </c>
      <c r="B43" s="14" t="n">
        <v>0.85</v>
      </c>
      <c r="C43" s="3" t="s">
        <v>95</v>
      </c>
    </row>
    <row r="44" customFormat="false" ht="15" hidden="false" customHeight="false" outlineLevel="0" collapsed="false">
      <c r="A44" s="8" t="s">
        <v>96</v>
      </c>
      <c r="B44" s="14" t="n">
        <v>0.2</v>
      </c>
      <c r="C44" s="3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H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5"/>
    <col collapsed="false" customWidth="true" hidden="false" outlineLevel="0" max="5" min="5" style="0" width="3"/>
    <col collapsed="false" customWidth="true" hidden="false" outlineLevel="0" max="8" min="6" style="0" width="12"/>
  </cols>
  <sheetData>
    <row r="1" customFormat="false" ht="17.35" hidden="false" customHeight="false" outlineLevel="0" collapsed="false">
      <c r="A1" s="12" t="s">
        <v>98</v>
      </c>
    </row>
    <row r="2" customFormat="false" ht="15" hidden="false" customHeight="false" outlineLevel="0" collapsed="false">
      <c r="A2" s="3" t="s">
        <v>99</v>
      </c>
    </row>
    <row r="4" customFormat="false" ht="15" hidden="false" customHeight="false" outlineLevel="0" collapsed="false">
      <c r="A4" s="5" t="s">
        <v>100</v>
      </c>
      <c r="B4" s="6" t="s">
        <v>101</v>
      </c>
      <c r="C4" s="6" t="s">
        <v>102</v>
      </c>
      <c r="D4" s="6" t="s">
        <v>103</v>
      </c>
      <c r="E4" s="6"/>
      <c r="F4" s="6" t="s">
        <v>104</v>
      </c>
      <c r="G4" s="6" t="s">
        <v>105</v>
      </c>
      <c r="H4" s="6" t="s">
        <v>106</v>
      </c>
    </row>
    <row r="5" customFormat="false" ht="15" hidden="false" customHeight="false" outlineLevel="0" collapsed="false">
      <c r="A5" s="20" t="s">
        <v>107</v>
      </c>
      <c r="B5" s="13" t="n">
        <v>14200000</v>
      </c>
      <c r="C5" s="13" t="n">
        <v>15900000</v>
      </c>
      <c r="D5" s="13" t="n">
        <v>17600000</v>
      </c>
      <c r="F5" s="21" t="n">
        <f aca="false">IFERROR(B5/B$5,0)</f>
        <v>1</v>
      </c>
      <c r="G5" s="21" t="n">
        <f aca="false">IFERROR(C5/C$5,0)</f>
        <v>1</v>
      </c>
      <c r="H5" s="21" t="n">
        <f aca="false">IFERROR(D5/D$5,0)</f>
        <v>1</v>
      </c>
    </row>
    <row r="6" customFormat="false" ht="15" hidden="false" customHeight="false" outlineLevel="0" collapsed="false">
      <c r="A6" s="20" t="s">
        <v>108</v>
      </c>
      <c r="B6" s="13" t="n">
        <v>10508000</v>
      </c>
      <c r="C6" s="13" t="n">
        <v>11686500</v>
      </c>
      <c r="D6" s="13" t="n">
        <v>12812800</v>
      </c>
      <c r="F6" s="21" t="n">
        <f aca="false">IFERROR(B6/B$5,0)</f>
        <v>0.74</v>
      </c>
      <c r="G6" s="21" t="n">
        <f aca="false">IFERROR(C6/C$5,0)</f>
        <v>0.735</v>
      </c>
      <c r="H6" s="21" t="n">
        <f aca="false">IFERROR(D6/D$5,0)</f>
        <v>0.728</v>
      </c>
    </row>
    <row r="7" customFormat="false" ht="15" hidden="false" customHeight="false" outlineLevel="0" collapsed="false">
      <c r="A7" s="7" t="s">
        <v>109</v>
      </c>
      <c r="B7" s="22" t="n">
        <f aca="false">B5-B6</f>
        <v>3692000</v>
      </c>
      <c r="C7" s="22" t="n">
        <f aca="false">C5-C6</f>
        <v>4213500</v>
      </c>
      <c r="D7" s="22" t="n">
        <f aca="false">D5-D6</f>
        <v>4787200</v>
      </c>
      <c r="F7" s="21" t="n">
        <f aca="false">IFERROR(B7/B$5,0)</f>
        <v>0.26</v>
      </c>
      <c r="G7" s="21" t="n">
        <f aca="false">IFERROR(C7/C$5,0)</f>
        <v>0.265</v>
      </c>
      <c r="H7" s="21" t="n">
        <f aca="false">IFERROR(D7/D$5,0)</f>
        <v>0.272</v>
      </c>
    </row>
    <row r="8" customFormat="false" ht="15" hidden="false" customHeight="false" outlineLevel="0" collapsed="false">
      <c r="A8" s="20" t="s">
        <v>110</v>
      </c>
      <c r="B8" s="13" t="n">
        <v>420000</v>
      </c>
      <c r="C8" s="13" t="n">
        <v>440000</v>
      </c>
      <c r="D8" s="13" t="n">
        <v>460000</v>
      </c>
      <c r="F8" s="21" t="n">
        <f aca="false">IFERROR(B8/B$5,0)</f>
        <v>0.0295774647887324</v>
      </c>
      <c r="G8" s="21" t="n">
        <f aca="false">IFERROR(C8/C$5,0)</f>
        <v>0.0276729559748428</v>
      </c>
      <c r="H8" s="21" t="n">
        <f aca="false">IFERROR(D8/D$5,0)</f>
        <v>0.0261363636363636</v>
      </c>
    </row>
    <row r="9" customFormat="false" ht="15" hidden="false" customHeight="false" outlineLevel="0" collapsed="false">
      <c r="A9" s="20" t="s">
        <v>111</v>
      </c>
      <c r="B9" s="13" t="n">
        <v>1710000</v>
      </c>
      <c r="C9" s="13" t="n">
        <v>1870000</v>
      </c>
      <c r="D9" s="13" t="n">
        <v>2020000</v>
      </c>
      <c r="F9" s="21" t="n">
        <f aca="false">IFERROR(B9/B$5,0)</f>
        <v>0.120422535211268</v>
      </c>
      <c r="G9" s="21" t="n">
        <f aca="false">IFERROR(C9/C$5,0)</f>
        <v>0.117610062893082</v>
      </c>
      <c r="H9" s="21" t="n">
        <f aca="false">IFERROR(D9/D$5,0)</f>
        <v>0.114772727272727</v>
      </c>
    </row>
    <row r="10" customFormat="false" ht="15" hidden="false" customHeight="false" outlineLevel="0" collapsed="false">
      <c r="A10" s="7" t="s">
        <v>112</v>
      </c>
      <c r="B10" s="22" t="n">
        <f aca="false">B7-B8-B9</f>
        <v>1562000</v>
      </c>
      <c r="C10" s="22" t="n">
        <f aca="false">C7-C8-C9</f>
        <v>1903500</v>
      </c>
      <c r="D10" s="22" t="n">
        <f aca="false">D7-D8-D9</f>
        <v>2307200</v>
      </c>
      <c r="F10" s="21" t="n">
        <f aca="false">IFERROR(B10/B$5,0)</f>
        <v>0.11</v>
      </c>
      <c r="G10" s="21" t="n">
        <f aca="false">IFERROR(C10/C$5,0)</f>
        <v>0.119716981132075</v>
      </c>
      <c r="H10" s="21" t="n">
        <f aca="false">IFERROR(D10/D$5,0)</f>
        <v>0.131090909090909</v>
      </c>
    </row>
    <row r="11" customFormat="false" ht="15" hidden="false" customHeight="false" outlineLevel="0" collapsed="false">
      <c r="A11" s="20" t="s">
        <v>113</v>
      </c>
      <c r="B11" s="13" t="n">
        <v>610000</v>
      </c>
      <c r="C11" s="13" t="n">
        <v>640000</v>
      </c>
      <c r="D11" s="13" t="n">
        <v>690000</v>
      </c>
      <c r="F11" s="21" t="n">
        <f aca="false">IFERROR(B11/B$5,0)</f>
        <v>0.0429577464788732</v>
      </c>
      <c r="G11" s="21" t="n">
        <f aca="false">IFERROR(C11/C$5,0)</f>
        <v>0.040251572327044</v>
      </c>
      <c r="H11" s="21" t="n">
        <f aca="false">IFERROR(D11/D$5,0)</f>
        <v>0.0392045454545455</v>
      </c>
    </row>
    <row r="12" customFormat="false" ht="15" hidden="false" customHeight="false" outlineLevel="0" collapsed="false">
      <c r="A12" s="7" t="s">
        <v>114</v>
      </c>
      <c r="B12" s="22" t="n">
        <f aca="false">B10-B11</f>
        <v>952000</v>
      </c>
      <c r="C12" s="22" t="n">
        <f aca="false">C10-C11</f>
        <v>1263500</v>
      </c>
      <c r="D12" s="22" t="n">
        <f aca="false">D10-D11</f>
        <v>1617200</v>
      </c>
      <c r="F12" s="21" t="n">
        <f aca="false">IFERROR(B12/B$5,0)</f>
        <v>0.0670422535211268</v>
      </c>
      <c r="G12" s="21" t="n">
        <f aca="false">IFERROR(C12/C$5,0)</f>
        <v>0.0794654088050315</v>
      </c>
      <c r="H12" s="21" t="n">
        <f aca="false">IFERROR(D12/D$5,0)</f>
        <v>0.0918863636363636</v>
      </c>
    </row>
    <row r="13" customFormat="false" ht="15" hidden="false" customHeight="false" outlineLevel="0" collapsed="false">
      <c r="A13" s="20" t="s">
        <v>115</v>
      </c>
      <c r="B13" s="13" t="n">
        <v>245000</v>
      </c>
      <c r="C13" s="13" t="n">
        <v>228000</v>
      </c>
      <c r="D13" s="13" t="n">
        <v>214000</v>
      </c>
      <c r="F13" s="21" t="n">
        <f aca="false">IFERROR(B13/B$5,0)</f>
        <v>0.0172535211267606</v>
      </c>
      <c r="G13" s="21" t="n">
        <f aca="false">IFERROR(C13/C$5,0)</f>
        <v>0.0143396226415094</v>
      </c>
      <c r="H13" s="21" t="n">
        <f aca="false">IFERROR(D13/D$5,0)</f>
        <v>0.0121590909090909</v>
      </c>
    </row>
    <row r="14" customFormat="false" ht="15" hidden="false" customHeight="false" outlineLevel="0" collapsed="false">
      <c r="A14" s="20" t="s">
        <v>116</v>
      </c>
      <c r="B14" s="13" t="n">
        <v>15000</v>
      </c>
      <c r="C14" s="13" t="n">
        <v>-8000</v>
      </c>
      <c r="D14" s="13" t="n">
        <v>12000</v>
      </c>
      <c r="F14" s="21" t="n">
        <f aca="false">IFERROR(B14/B$5,0)</f>
        <v>0.00105633802816901</v>
      </c>
      <c r="G14" s="21" t="n">
        <f aca="false">IFERROR(C14/C$5,0)</f>
        <v>-0.00050314465408805</v>
      </c>
      <c r="H14" s="21" t="n">
        <f aca="false">IFERROR(D14/D$5,0)</f>
        <v>0.000681818181818182</v>
      </c>
    </row>
    <row r="15" customFormat="false" ht="15" hidden="false" customHeight="false" outlineLevel="0" collapsed="false">
      <c r="A15" s="7" t="s">
        <v>117</v>
      </c>
      <c r="B15" s="22" t="n">
        <f aca="false">B12-B13+B14</f>
        <v>722000</v>
      </c>
      <c r="C15" s="22" t="n">
        <f aca="false">C12-C13+C14</f>
        <v>1027500</v>
      </c>
      <c r="D15" s="22" t="n">
        <f aca="false">D12-D13+D14</f>
        <v>1415200</v>
      </c>
      <c r="F15" s="21" t="n">
        <f aca="false">IFERROR(B15/B$5,0)</f>
        <v>0.0508450704225352</v>
      </c>
      <c r="G15" s="21" t="n">
        <f aca="false">IFERROR(C15/C$5,0)</f>
        <v>0.064622641509434</v>
      </c>
      <c r="H15" s="21" t="n">
        <f aca="false">IFERROR(D15/D$5,0)</f>
        <v>0.0804090909090909</v>
      </c>
    </row>
    <row r="16" customFormat="false" ht="15" hidden="false" customHeight="false" outlineLevel="0" collapsed="false">
      <c r="A16" s="20" t="s">
        <v>118</v>
      </c>
      <c r="B16" s="13" t="n">
        <v>400000</v>
      </c>
      <c r="C16" s="13" t="n">
        <v>480000</v>
      </c>
      <c r="D16" s="13" t="n">
        <v>700000</v>
      </c>
      <c r="F16" s="21" t="n">
        <f aca="false">IFERROR(B16/B$5,0)</f>
        <v>0.028169014084507</v>
      </c>
      <c r="G16" s="21" t="n">
        <f aca="false">IFERROR(C16/C$5,0)</f>
        <v>0.030188679245283</v>
      </c>
      <c r="H16" s="21" t="n">
        <f aca="false">IFERROR(D16/D$5,0)</f>
        <v>0.0397727272727273</v>
      </c>
    </row>
    <row r="17" customFormat="false" ht="15" hidden="false" customHeight="false" outlineLevel="0" collapsed="false">
      <c r="A17" s="3" t="s">
        <v>119</v>
      </c>
    </row>
    <row r="18" customFormat="false" ht="15" hidden="false" customHeight="false" outlineLevel="0" collapsed="false">
      <c r="A18" s="5" t="s">
        <v>120</v>
      </c>
      <c r="B18" s="6" t="s">
        <v>101</v>
      </c>
      <c r="C18" s="6" t="s">
        <v>102</v>
      </c>
      <c r="D18" s="6" t="s">
        <v>103</v>
      </c>
    </row>
    <row r="19" customFormat="false" ht="15" hidden="false" customHeight="false" outlineLevel="0" collapsed="false">
      <c r="A19" s="20" t="s">
        <v>121</v>
      </c>
      <c r="B19" s="13" t="n">
        <v>610000</v>
      </c>
      <c r="C19" s="13" t="n">
        <v>667500</v>
      </c>
      <c r="D19" s="13" t="n">
        <v>612700</v>
      </c>
    </row>
    <row r="20" customFormat="false" ht="15" hidden="false" customHeight="false" outlineLevel="0" collapsed="false">
      <c r="A20" s="20" t="s">
        <v>122</v>
      </c>
      <c r="B20" s="13" t="n">
        <v>1750000</v>
      </c>
      <c r="C20" s="13" t="n">
        <v>1980000</v>
      </c>
      <c r="D20" s="13" t="n">
        <v>2250000</v>
      </c>
    </row>
    <row r="21" customFormat="false" ht="15" hidden="false" customHeight="false" outlineLevel="0" collapsed="false">
      <c r="A21" s="20" t="s">
        <v>123</v>
      </c>
      <c r="B21" s="13" t="n">
        <v>1420000</v>
      </c>
      <c r="C21" s="13" t="n">
        <v>1500000</v>
      </c>
      <c r="D21" s="13" t="n">
        <v>1640000</v>
      </c>
    </row>
    <row r="22" customFormat="false" ht="15" hidden="false" customHeight="false" outlineLevel="0" collapsed="false">
      <c r="A22" s="20" t="s">
        <v>124</v>
      </c>
      <c r="B22" s="13" t="n">
        <v>90000</v>
      </c>
      <c r="C22" s="13" t="n">
        <v>105000</v>
      </c>
      <c r="D22" s="13" t="n">
        <v>110000</v>
      </c>
    </row>
    <row r="23" customFormat="false" ht="15" hidden="false" customHeight="false" outlineLevel="0" collapsed="false">
      <c r="A23" s="7" t="s">
        <v>125</v>
      </c>
      <c r="B23" s="22" t="n">
        <f aca="false">SUM(B19:B22)</f>
        <v>3870000</v>
      </c>
      <c r="C23" s="22" t="n">
        <f aca="false">SUM(C19:C22)</f>
        <v>4252500</v>
      </c>
      <c r="D23" s="22" t="n">
        <f aca="false">SUM(D19:D22)</f>
        <v>4612700</v>
      </c>
    </row>
    <row r="24" customFormat="false" ht="15" hidden="false" customHeight="false" outlineLevel="0" collapsed="false">
      <c r="A24" s="20" t="s">
        <v>126</v>
      </c>
      <c r="B24" s="13" t="n">
        <v>7800000</v>
      </c>
      <c r="C24" s="13" t="n">
        <v>8300000</v>
      </c>
      <c r="D24" s="13" t="n">
        <v>9000000</v>
      </c>
    </row>
    <row r="25" customFormat="false" ht="15" hidden="false" customHeight="false" outlineLevel="0" collapsed="false">
      <c r="A25" s="20" t="s">
        <v>127</v>
      </c>
      <c r="B25" s="13" t="n">
        <v>-3900000</v>
      </c>
      <c r="C25" s="13" t="n">
        <v>-4540000</v>
      </c>
      <c r="D25" s="13" t="n">
        <v>-5230000</v>
      </c>
    </row>
    <row r="26" customFormat="false" ht="15" hidden="false" customHeight="false" outlineLevel="0" collapsed="false">
      <c r="A26" s="7" t="s">
        <v>128</v>
      </c>
      <c r="B26" s="22" t="n">
        <f aca="false">B24+B25</f>
        <v>3900000</v>
      </c>
      <c r="C26" s="22" t="n">
        <f aca="false">C24+C25</f>
        <v>3760000</v>
      </c>
      <c r="D26" s="22" t="n">
        <f aca="false">D24+D25</f>
        <v>3770000</v>
      </c>
    </row>
    <row r="27" customFormat="false" ht="15" hidden="false" customHeight="false" outlineLevel="0" collapsed="false">
      <c r="A27" s="20" t="s">
        <v>129</v>
      </c>
      <c r="B27" s="13" t="n">
        <v>120000</v>
      </c>
      <c r="C27" s="13" t="n">
        <v>115000</v>
      </c>
      <c r="D27" s="13" t="n">
        <v>110000</v>
      </c>
    </row>
    <row r="28" customFormat="false" ht="15" hidden="false" customHeight="false" outlineLevel="0" collapsed="false">
      <c r="A28" s="7" t="s">
        <v>130</v>
      </c>
      <c r="B28" s="22" t="n">
        <f aca="false">B23+B26+B27</f>
        <v>7890000</v>
      </c>
      <c r="C28" s="22" t="n">
        <f aca="false">C23+C26+C27</f>
        <v>8127500</v>
      </c>
      <c r="D28" s="22" t="n">
        <f aca="false">D23+D26+D27</f>
        <v>8492700</v>
      </c>
    </row>
    <row r="30" customFormat="false" ht="15" hidden="false" customHeight="false" outlineLevel="0" collapsed="false">
      <c r="A30" s="20" t="s">
        <v>131</v>
      </c>
      <c r="B30" s="13" t="n">
        <v>650000</v>
      </c>
      <c r="C30" s="13" t="n">
        <v>720000</v>
      </c>
      <c r="D30" s="13" t="n">
        <v>780000</v>
      </c>
    </row>
    <row r="31" customFormat="false" ht="15" hidden="false" customHeight="false" outlineLevel="0" collapsed="false">
      <c r="A31" s="20" t="s">
        <v>132</v>
      </c>
      <c r="B31" s="13" t="n">
        <v>520000</v>
      </c>
      <c r="C31" s="13" t="n">
        <v>540000</v>
      </c>
      <c r="D31" s="13" t="n">
        <v>560000</v>
      </c>
    </row>
    <row r="32" customFormat="false" ht="15" hidden="false" customHeight="false" outlineLevel="0" collapsed="false">
      <c r="A32" s="20" t="s">
        <v>133</v>
      </c>
      <c r="B32" s="13" t="n">
        <v>980000</v>
      </c>
      <c r="C32" s="13" t="n">
        <v>1090000</v>
      </c>
      <c r="D32" s="13" t="n">
        <v>1180000</v>
      </c>
    </row>
    <row r="33" customFormat="false" ht="15" hidden="false" customHeight="false" outlineLevel="0" collapsed="false">
      <c r="A33" s="20" t="s">
        <v>134</v>
      </c>
      <c r="B33" s="13" t="n">
        <v>340000</v>
      </c>
      <c r="C33" s="13" t="n">
        <v>370000</v>
      </c>
      <c r="D33" s="13" t="n">
        <v>410000</v>
      </c>
    </row>
    <row r="34" customFormat="false" ht="15" hidden="false" customHeight="false" outlineLevel="0" collapsed="false">
      <c r="A34" s="7" t="s">
        <v>135</v>
      </c>
      <c r="B34" s="22" t="n">
        <f aca="false">SUM(B30:B33)</f>
        <v>2490000</v>
      </c>
      <c r="C34" s="22" t="n">
        <f aca="false">SUM(C30:C33)</f>
        <v>2720000</v>
      </c>
      <c r="D34" s="22" t="n">
        <f aca="false">SUM(D30:D33)</f>
        <v>2930000</v>
      </c>
    </row>
    <row r="35" customFormat="false" ht="15" hidden="false" customHeight="false" outlineLevel="0" collapsed="false">
      <c r="A35" s="20" t="s">
        <v>136</v>
      </c>
      <c r="B35" s="13" t="n">
        <v>2380000</v>
      </c>
      <c r="C35" s="13" t="n">
        <v>1840000</v>
      </c>
      <c r="D35" s="13" t="n">
        <v>1280000</v>
      </c>
    </row>
    <row r="36" customFormat="false" ht="15" hidden="false" customHeight="false" outlineLevel="0" collapsed="false">
      <c r="A36" s="7" t="s">
        <v>137</v>
      </c>
      <c r="B36" s="22" t="n">
        <f aca="false">B34+B35</f>
        <v>4870000</v>
      </c>
      <c r="C36" s="22" t="n">
        <f aca="false">C34+C35</f>
        <v>4560000</v>
      </c>
      <c r="D36" s="22" t="n">
        <f aca="false">D34+D35</f>
        <v>4210000</v>
      </c>
    </row>
    <row r="37" customFormat="false" ht="15" hidden="false" customHeight="false" outlineLevel="0" collapsed="false">
      <c r="A37" s="20" t="s">
        <v>138</v>
      </c>
      <c r="B37" s="13" t="n">
        <v>3020000</v>
      </c>
      <c r="C37" s="13" t="n">
        <v>3567500</v>
      </c>
      <c r="D37" s="13" t="n">
        <v>4282700</v>
      </c>
    </row>
    <row r="38" customFormat="false" ht="15" hidden="false" customHeight="false" outlineLevel="0" collapsed="false">
      <c r="A38" s="7" t="s">
        <v>139</v>
      </c>
      <c r="B38" s="22" t="n">
        <f aca="false">B36+B37</f>
        <v>7890000</v>
      </c>
      <c r="C38" s="22" t="n">
        <f aca="false">C36+C37</f>
        <v>8127500</v>
      </c>
      <c r="D38" s="22" t="n">
        <f aca="false">D36+D37</f>
        <v>8492700</v>
      </c>
    </row>
    <row r="39" customFormat="false" ht="15" hidden="false" customHeight="false" outlineLevel="0" collapsed="false">
      <c r="A39" s="8" t="s">
        <v>140</v>
      </c>
      <c r="B39" s="23" t="n">
        <f aca="false">B28-B38</f>
        <v>0</v>
      </c>
      <c r="C39" s="23" t="n">
        <f aca="false">C28-C38</f>
        <v>0</v>
      </c>
      <c r="D39" s="23" t="n">
        <f aca="false">D28-D38</f>
        <v>0</v>
      </c>
    </row>
    <row r="41" customFormat="false" ht="15" hidden="false" customHeight="false" outlineLevel="0" collapsed="false">
      <c r="A41" s="5" t="s">
        <v>141</v>
      </c>
      <c r="B41" s="6" t="s">
        <v>101</v>
      </c>
      <c r="C41" s="6" t="s">
        <v>102</v>
      </c>
      <c r="D41" s="6" t="s">
        <v>103</v>
      </c>
    </row>
    <row r="42" customFormat="false" ht="15" hidden="false" customHeight="false" outlineLevel="0" collapsed="false">
      <c r="A42" s="20" t="s">
        <v>142</v>
      </c>
      <c r="C42" s="15" t="n">
        <f aca="false">B37</f>
        <v>3020000</v>
      </c>
      <c r="D42" s="15" t="n">
        <f aca="false">C37</f>
        <v>3567500</v>
      </c>
    </row>
    <row r="43" customFormat="false" ht="15" hidden="false" customHeight="false" outlineLevel="0" collapsed="false">
      <c r="A43" s="20" t="s">
        <v>143</v>
      </c>
      <c r="C43" s="15" t="n">
        <f aca="false">C15</f>
        <v>1027500</v>
      </c>
      <c r="D43" s="15" t="n">
        <f aca="false">D15</f>
        <v>1415200</v>
      </c>
    </row>
    <row r="44" customFormat="false" ht="15" hidden="false" customHeight="false" outlineLevel="0" collapsed="false">
      <c r="A44" s="20" t="s">
        <v>144</v>
      </c>
      <c r="C44" s="15" t="n">
        <f aca="false">-C16</f>
        <v>-480000</v>
      </c>
      <c r="D44" s="15" t="n">
        <f aca="false">-D16</f>
        <v>-700000</v>
      </c>
    </row>
    <row r="45" customFormat="false" ht="15" hidden="false" customHeight="false" outlineLevel="0" collapsed="false">
      <c r="A45" s="20" t="s">
        <v>145</v>
      </c>
      <c r="C45" s="15" t="n">
        <f aca="false">SUM(C42:C44)</f>
        <v>3567500</v>
      </c>
      <c r="D45" s="15" t="n">
        <f aca="false">SUM(D42:D44)</f>
        <v>4282700</v>
      </c>
    </row>
    <row r="46" customFormat="false" ht="15" hidden="false" customHeight="false" outlineLevel="0" collapsed="false">
      <c r="A46" s="20" t="s">
        <v>146</v>
      </c>
      <c r="C46" s="23" t="n">
        <f aca="false">C45-C37</f>
        <v>0</v>
      </c>
      <c r="D46" s="23" t="n">
        <f aca="false">D45-D37</f>
        <v>0</v>
      </c>
    </row>
    <row r="48" customFormat="false" ht="15" hidden="false" customHeight="false" outlineLevel="0" collapsed="false">
      <c r="A48" s="5" t="s">
        <v>147</v>
      </c>
      <c r="B48" s="6" t="s">
        <v>101</v>
      </c>
      <c r="C48" s="6" t="s">
        <v>102</v>
      </c>
      <c r="D48" s="6" t="s">
        <v>103</v>
      </c>
    </row>
    <row r="49" customFormat="false" ht="15" hidden="false" customHeight="false" outlineLevel="0" collapsed="false">
      <c r="A49" s="20" t="s">
        <v>148</v>
      </c>
      <c r="B49" s="3" t="s">
        <v>149</v>
      </c>
      <c r="C49" s="15" t="n">
        <f aca="false">C15</f>
        <v>1027500</v>
      </c>
      <c r="D49" s="15" t="n">
        <f aca="false">D15</f>
        <v>1415200</v>
      </c>
    </row>
    <row r="50" customFormat="false" ht="15" hidden="false" customHeight="false" outlineLevel="0" collapsed="false">
      <c r="A50" s="20" t="s">
        <v>150</v>
      </c>
      <c r="C50" s="15" t="n">
        <f aca="false">C11</f>
        <v>640000</v>
      </c>
      <c r="D50" s="15" t="n">
        <f aca="false">D11</f>
        <v>690000</v>
      </c>
    </row>
    <row r="51" customFormat="false" ht="15" hidden="false" customHeight="false" outlineLevel="0" collapsed="false">
      <c r="A51" s="20" t="s">
        <v>151</v>
      </c>
      <c r="C51" s="15" t="n">
        <f aca="false">B20-C20</f>
        <v>-230000</v>
      </c>
      <c r="D51" s="15" t="n">
        <f aca="false">C20-D20</f>
        <v>-270000</v>
      </c>
    </row>
    <row r="52" customFormat="false" ht="15" hidden="false" customHeight="false" outlineLevel="0" collapsed="false">
      <c r="A52" s="20" t="s">
        <v>152</v>
      </c>
      <c r="C52" s="15" t="n">
        <f aca="false">B21-C21</f>
        <v>-80000</v>
      </c>
      <c r="D52" s="15" t="n">
        <f aca="false">C21-D21</f>
        <v>-140000</v>
      </c>
    </row>
    <row r="53" customFormat="false" ht="15" hidden="false" customHeight="false" outlineLevel="0" collapsed="false">
      <c r="A53" s="20" t="s">
        <v>153</v>
      </c>
      <c r="C53" s="15" t="n">
        <f aca="false">B22-C22</f>
        <v>-15000</v>
      </c>
      <c r="D53" s="15" t="n">
        <f aca="false">C22-D22</f>
        <v>-5000</v>
      </c>
    </row>
    <row r="54" customFormat="false" ht="15" hidden="false" customHeight="false" outlineLevel="0" collapsed="false">
      <c r="A54" s="20" t="s">
        <v>154</v>
      </c>
      <c r="C54" s="15" t="n">
        <f aca="false">C32-B32</f>
        <v>110000</v>
      </c>
      <c r="D54" s="15" t="n">
        <f aca="false">D32-C32</f>
        <v>90000</v>
      </c>
    </row>
    <row r="55" customFormat="false" ht="15" hidden="false" customHeight="false" outlineLevel="0" collapsed="false">
      <c r="A55" s="20" t="s">
        <v>155</v>
      </c>
      <c r="C55" s="15" t="n">
        <f aca="false">C33-B33</f>
        <v>30000</v>
      </c>
      <c r="D55" s="15" t="n">
        <f aca="false">D33-C33</f>
        <v>40000</v>
      </c>
    </row>
    <row r="56" customFormat="false" ht="15" hidden="false" customHeight="false" outlineLevel="0" collapsed="false">
      <c r="A56" s="7" t="s">
        <v>156</v>
      </c>
      <c r="C56" s="22" t="n">
        <f aca="false">SUM(C49:C55)</f>
        <v>1482500</v>
      </c>
      <c r="D56" s="22" t="n">
        <f aca="false">SUM(D49:D55)</f>
        <v>1820200</v>
      </c>
    </row>
    <row r="57" customFormat="false" ht="15" hidden="false" customHeight="false" outlineLevel="0" collapsed="false">
      <c r="A57" s="20" t="s">
        <v>157</v>
      </c>
      <c r="C57" s="15" t="n">
        <f aca="false">-(C24-B24)</f>
        <v>-500000</v>
      </c>
      <c r="D57" s="15" t="n">
        <f aca="false">-(D24-C24)</f>
        <v>-700000</v>
      </c>
    </row>
    <row r="58" customFormat="false" ht="15" hidden="false" customHeight="false" outlineLevel="0" collapsed="false">
      <c r="A58" s="20" t="s">
        <v>158</v>
      </c>
      <c r="C58" s="15" t="n">
        <f aca="false">B27-C27</f>
        <v>5000</v>
      </c>
      <c r="D58" s="15" t="n">
        <f aca="false">C27-D27</f>
        <v>5000</v>
      </c>
    </row>
    <row r="59" customFormat="false" ht="15" hidden="false" customHeight="false" outlineLevel="0" collapsed="false">
      <c r="A59" s="20" t="s">
        <v>159</v>
      </c>
      <c r="C59" s="15" t="n">
        <f aca="false">C30-B30</f>
        <v>70000</v>
      </c>
      <c r="D59" s="15" t="n">
        <f aca="false">D30-C30</f>
        <v>60000</v>
      </c>
    </row>
    <row r="60" customFormat="false" ht="15" hidden="false" customHeight="false" outlineLevel="0" collapsed="false">
      <c r="A60" s="20" t="s">
        <v>160</v>
      </c>
      <c r="C60" s="15" t="n">
        <f aca="false">(C31+C35)-(B31+B35)</f>
        <v>-520000</v>
      </c>
      <c r="D60" s="15" t="n">
        <f aca="false">(D31+D35)-(C31+C35)</f>
        <v>-540000</v>
      </c>
    </row>
    <row r="61" customFormat="false" ht="15" hidden="false" customHeight="false" outlineLevel="0" collapsed="false">
      <c r="A61" s="20" t="s">
        <v>161</v>
      </c>
      <c r="C61" s="15" t="n">
        <f aca="false">-C16</f>
        <v>-480000</v>
      </c>
      <c r="D61" s="15" t="n">
        <f aca="false">-D16</f>
        <v>-700000</v>
      </c>
    </row>
    <row r="62" customFormat="false" ht="15" hidden="false" customHeight="false" outlineLevel="0" collapsed="false">
      <c r="A62" s="7" t="s">
        <v>162</v>
      </c>
      <c r="C62" s="22" t="n">
        <f aca="false">C56+SUM(C57:C61)</f>
        <v>57500</v>
      </c>
      <c r="D62" s="22" t="n">
        <f aca="false">D56+SUM(D57:D61)</f>
        <v>-54800</v>
      </c>
    </row>
    <row r="63" customFormat="false" ht="15" hidden="false" customHeight="false" outlineLevel="0" collapsed="false">
      <c r="A63" s="20" t="s">
        <v>163</v>
      </c>
      <c r="C63" s="23" t="n">
        <f aca="false">C19-B19-C62</f>
        <v>0</v>
      </c>
      <c r="D63" s="23" t="n">
        <f aca="false">D19-C19-D62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3"/>
    <col collapsed="false" customWidth="true" hidden="false" outlineLevel="0" max="5" min="5" style="0" width="3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2" t="s">
        <v>164</v>
      </c>
    </row>
    <row r="2" customFormat="false" ht="15" hidden="false" customHeight="false" outlineLevel="0" collapsed="false">
      <c r="A2" s="3" t="s">
        <v>165</v>
      </c>
    </row>
    <row r="4" customFormat="false" ht="15" hidden="false" customHeight="false" outlineLevel="0" collapsed="false">
      <c r="A4" s="5" t="s">
        <v>166</v>
      </c>
      <c r="B4" s="6" t="s">
        <v>101</v>
      </c>
      <c r="C4" s="6" t="s">
        <v>102</v>
      </c>
      <c r="D4" s="6" t="s">
        <v>103</v>
      </c>
      <c r="E4" s="6"/>
      <c r="F4" s="6" t="s">
        <v>167</v>
      </c>
    </row>
    <row r="5" customFormat="false" ht="15" hidden="false" customHeight="false" outlineLevel="0" collapsed="false">
      <c r="A5" s="24" t="s">
        <v>168</v>
      </c>
      <c r="B5" s="25"/>
      <c r="C5" s="25"/>
      <c r="D5" s="25"/>
    </row>
    <row r="6" customFormat="false" ht="15" hidden="false" customHeight="false" outlineLevel="0" collapsed="false">
      <c r="A6" s="20" t="s">
        <v>82</v>
      </c>
      <c r="B6" s="3" t="s">
        <v>149</v>
      </c>
      <c r="C6" s="26" t="n">
        <f aca="false">IFERROR(Spread!C5/Spread!B5-1,0)</f>
        <v>0.119718309859155</v>
      </c>
      <c r="D6" s="26" t="n">
        <f aca="false">IFERROR(Spread!D5/Spread!C5-1,0)</f>
        <v>0.106918238993711</v>
      </c>
      <c r="F6" s="3" t="s">
        <v>169</v>
      </c>
    </row>
    <row r="7" customFormat="false" ht="15" hidden="false" customHeight="false" outlineLevel="0" collapsed="false">
      <c r="A7" s="20" t="s">
        <v>170</v>
      </c>
      <c r="B7" s="26" t="n">
        <f aca="false">Spread!B7/Spread!B5</f>
        <v>0.26</v>
      </c>
      <c r="C7" s="26" t="n">
        <f aca="false">Spread!C7/Spread!C5</f>
        <v>0.265</v>
      </c>
      <c r="D7" s="26" t="n">
        <f aca="false">Spread!D7/Spread!D5</f>
        <v>0.272</v>
      </c>
      <c r="F7" s="3" t="s">
        <v>171</v>
      </c>
    </row>
    <row r="8" customFormat="false" ht="15" hidden="false" customHeight="false" outlineLevel="0" collapsed="false">
      <c r="A8" s="20" t="s">
        <v>172</v>
      </c>
      <c r="B8" s="26" t="n">
        <f aca="false">Spread!B10/Spread!B5</f>
        <v>0.11</v>
      </c>
      <c r="C8" s="26" t="n">
        <f aca="false">Spread!C10/Spread!C5</f>
        <v>0.119716981132075</v>
      </c>
      <c r="D8" s="26" t="n">
        <f aca="false">Spread!D10/Spread!D5</f>
        <v>0.131090909090909</v>
      </c>
      <c r="F8" s="3"/>
    </row>
    <row r="9" customFormat="false" ht="15" hidden="false" customHeight="false" outlineLevel="0" collapsed="false">
      <c r="A9" s="20" t="s">
        <v>173</v>
      </c>
      <c r="B9" s="26" t="n">
        <f aca="false">Spread!B15/Spread!B5</f>
        <v>0.0508450704225352</v>
      </c>
      <c r="C9" s="26" t="n">
        <f aca="false">Spread!C15/Spread!C5</f>
        <v>0.064622641509434</v>
      </c>
      <c r="D9" s="26" t="n">
        <f aca="false">Spread!D15/Spread!D5</f>
        <v>0.0804090909090909</v>
      </c>
      <c r="F9" s="3" t="s">
        <v>174</v>
      </c>
    </row>
    <row r="10" customFormat="false" ht="15" hidden="false" customHeight="false" outlineLevel="0" collapsed="false">
      <c r="A10" s="24" t="s">
        <v>175</v>
      </c>
      <c r="B10" s="25"/>
      <c r="C10" s="25"/>
      <c r="D10" s="25"/>
    </row>
    <row r="11" customFormat="false" ht="15" hidden="false" customHeight="false" outlineLevel="0" collapsed="false">
      <c r="A11" s="20" t="s">
        <v>176</v>
      </c>
      <c r="B11" s="27" t="n">
        <f aca="false">Spread!B23/Spread!B34</f>
        <v>1.55421686746988</v>
      </c>
      <c r="C11" s="27" t="n">
        <f aca="false">Spread!C23/Spread!C34</f>
        <v>1.56341911764706</v>
      </c>
      <c r="D11" s="27" t="n">
        <f aca="false">Spread!D23/Spread!D34</f>
        <v>1.57430034129693</v>
      </c>
      <c r="F11" s="3" t="s">
        <v>177</v>
      </c>
    </row>
    <row r="12" customFormat="false" ht="15" hidden="false" customHeight="false" outlineLevel="0" collapsed="false">
      <c r="A12" s="20" t="s">
        <v>178</v>
      </c>
      <c r="B12" s="27" t="n">
        <f aca="false">(Spread!B19+Spread!B20)/Spread!B34</f>
        <v>0.947791164658635</v>
      </c>
      <c r="C12" s="27" t="n">
        <f aca="false">(Spread!C19+Spread!C20)/Spread!C34</f>
        <v>0.973345588235294</v>
      </c>
      <c r="D12" s="27" t="n">
        <f aca="false">(Spread!D19+Spread!D20)/Spread!D34</f>
        <v>0.97703071672355</v>
      </c>
      <c r="F12" s="3" t="s">
        <v>179</v>
      </c>
    </row>
    <row r="13" customFormat="false" ht="15" hidden="false" customHeight="false" outlineLevel="0" collapsed="false">
      <c r="A13" s="20" t="s">
        <v>180</v>
      </c>
      <c r="B13" s="18" t="n">
        <f aca="false">Spread!B23-Spread!B34</f>
        <v>1380000</v>
      </c>
      <c r="C13" s="18" t="n">
        <f aca="false">Spread!C23-Spread!C34</f>
        <v>1532500</v>
      </c>
      <c r="D13" s="18" t="n">
        <f aca="false">Spread!D23-Spread!D34</f>
        <v>1682700</v>
      </c>
      <c r="F13" s="3"/>
    </row>
    <row r="14" customFormat="false" ht="15" hidden="false" customHeight="false" outlineLevel="0" collapsed="false">
      <c r="A14" s="24" t="s">
        <v>181</v>
      </c>
      <c r="B14" s="25"/>
      <c r="C14" s="25"/>
      <c r="D14" s="25"/>
    </row>
    <row r="15" customFormat="false" ht="15" hidden="false" customHeight="false" outlineLevel="0" collapsed="false">
      <c r="A15" s="20" t="s">
        <v>182</v>
      </c>
      <c r="B15" s="28" t="n">
        <f aca="false">Spread!B20/Spread!B5*365</f>
        <v>44.9823943661972</v>
      </c>
      <c r="C15" s="28" t="n">
        <f aca="false">Spread!C20/Spread!C5*365</f>
        <v>45.4528301886792</v>
      </c>
      <c r="D15" s="28" t="n">
        <f aca="false">Spread!D20/Spread!D5*365</f>
        <v>46.6619318181818</v>
      </c>
      <c r="F15" s="3" t="s">
        <v>183</v>
      </c>
    </row>
    <row r="16" customFormat="false" ht="15" hidden="false" customHeight="false" outlineLevel="0" collapsed="false">
      <c r="A16" s="20" t="s">
        <v>184</v>
      </c>
      <c r="B16" s="28" t="n">
        <f aca="false">Spread!B21/Spread!B6*365</f>
        <v>49.3243243243243</v>
      </c>
      <c r="C16" s="28" t="n">
        <f aca="false">Spread!C21/Spread!C6*365</f>
        <v>46.8489282505455</v>
      </c>
      <c r="D16" s="28" t="n">
        <f aca="false">Spread!D21/Spread!D6*365</f>
        <v>46.7189060939061</v>
      </c>
      <c r="F16" s="3"/>
    </row>
    <row r="17" customFormat="false" ht="15" hidden="false" customHeight="false" outlineLevel="0" collapsed="false">
      <c r="A17" s="20" t="s">
        <v>185</v>
      </c>
      <c r="B17" s="28" t="n">
        <f aca="false">Spread!B32/Spread!B6*365</f>
        <v>34.0407308717168</v>
      </c>
      <c r="C17" s="28" t="n">
        <f aca="false">Spread!C32/Spread!C6*365</f>
        <v>34.0435545287297</v>
      </c>
      <c r="D17" s="28" t="n">
        <f aca="false">Spread!D32/Spread!D6*365</f>
        <v>33.6148226773227</v>
      </c>
      <c r="F17" s="3"/>
    </row>
    <row r="18" customFormat="false" ht="15" hidden="false" customHeight="false" outlineLevel="0" collapsed="false">
      <c r="A18" s="20" t="s">
        <v>186</v>
      </c>
      <c r="B18" s="29" t="n">
        <f aca="false">B15+B16-B17</f>
        <v>60.2659878188047</v>
      </c>
      <c r="C18" s="29" t="n">
        <f aca="false">C15+C16-C17</f>
        <v>58.258203910495</v>
      </c>
      <c r="D18" s="29" t="n">
        <f aca="false">D15+D16-D17</f>
        <v>59.7660152347652</v>
      </c>
      <c r="F18" s="3" t="s">
        <v>187</v>
      </c>
    </row>
    <row r="19" customFormat="false" ht="15" hidden="false" customHeight="false" outlineLevel="0" collapsed="false">
      <c r="A19" s="24" t="s">
        <v>188</v>
      </c>
      <c r="B19" s="25"/>
      <c r="C19" s="25"/>
      <c r="D19" s="25"/>
    </row>
    <row r="20" customFormat="false" ht="15" hidden="false" customHeight="false" outlineLevel="0" collapsed="false">
      <c r="A20" s="20" t="s">
        <v>189</v>
      </c>
      <c r="B20" s="27" t="n">
        <f aca="false">Spread!B36/Spread!B37</f>
        <v>1.61258278145695</v>
      </c>
      <c r="C20" s="27" t="n">
        <f aca="false">Spread!C36/Spread!C37</f>
        <v>1.27820602662929</v>
      </c>
      <c r="D20" s="27" t="n">
        <f aca="false">Spread!D36/Spread!D37</f>
        <v>0.983024727391599</v>
      </c>
      <c r="F20" s="3" t="s">
        <v>190</v>
      </c>
    </row>
    <row r="21" customFormat="false" ht="15" hidden="false" customHeight="false" outlineLevel="0" collapsed="false">
      <c r="A21" s="20" t="s">
        <v>191</v>
      </c>
      <c r="B21" s="18" t="n">
        <f aca="false">Spread!B30+Spread!B31+Spread!B35</f>
        <v>3550000</v>
      </c>
      <c r="C21" s="18" t="n">
        <f aca="false">Spread!C30+Spread!C31+Spread!C35</f>
        <v>3100000</v>
      </c>
      <c r="D21" s="18" t="n">
        <f aca="false">Spread!D30+Spread!D31+Spread!D35</f>
        <v>2620000</v>
      </c>
      <c r="F21" s="3" t="s">
        <v>192</v>
      </c>
    </row>
    <row r="22" customFormat="false" ht="15" hidden="false" customHeight="false" outlineLevel="0" collapsed="false">
      <c r="A22" s="20" t="s">
        <v>193</v>
      </c>
      <c r="B22" s="27" t="n">
        <f aca="false">B21/Spread!B10</f>
        <v>2.27272727272727</v>
      </c>
      <c r="C22" s="27" t="n">
        <f aca="false">C21/Spread!C10</f>
        <v>1.62857893354347</v>
      </c>
      <c r="D22" s="27" t="n">
        <f aca="false">D21/Spread!D10</f>
        <v>1.13557558945908</v>
      </c>
      <c r="F22" s="3" t="s">
        <v>194</v>
      </c>
    </row>
    <row r="23" customFormat="false" ht="15" hidden="false" customHeight="false" outlineLevel="0" collapsed="false">
      <c r="A23" s="24" t="s">
        <v>195</v>
      </c>
      <c r="B23" s="25"/>
      <c r="C23" s="25"/>
      <c r="D23" s="25"/>
    </row>
    <row r="24" customFormat="false" ht="15" hidden="false" customHeight="false" outlineLevel="0" collapsed="false">
      <c r="A24" s="20" t="s">
        <v>196</v>
      </c>
      <c r="B24" s="18" t="n">
        <f aca="false">Inputs!B31</f>
        <v>500000</v>
      </c>
      <c r="C24" s="18" t="n">
        <f aca="false">Spread!B31</f>
        <v>520000</v>
      </c>
      <c r="D24" s="18" t="n">
        <f aca="false">Spread!C31</f>
        <v>540000</v>
      </c>
      <c r="F24" s="3" t="s">
        <v>197</v>
      </c>
    </row>
    <row r="25" customFormat="false" ht="15" hidden="false" customHeight="false" outlineLevel="0" collapsed="false">
      <c r="A25" s="20" t="s">
        <v>198</v>
      </c>
      <c r="B25" s="27" t="n">
        <f aca="false">(Spread!B15+Spread!B11+Spread!B13-Spread!B16)/(B24+Spread!B13)</f>
        <v>1.57986577181208</v>
      </c>
      <c r="C25" s="27" t="n">
        <f aca="false">(Spread!C15+Spread!C11+Spread!C13-Spread!C16)/(C24+Spread!C13)</f>
        <v>1.89237967914439</v>
      </c>
      <c r="D25" s="27" t="n">
        <f aca="false">(Spread!D15+Spread!D11+Spread!D13-Spread!D16)/(D24+Spread!D13)</f>
        <v>2.1474801061008</v>
      </c>
      <c r="F25" s="3" t="s">
        <v>199</v>
      </c>
    </row>
    <row r="26" customFormat="false" ht="15" hidden="false" customHeight="false" outlineLevel="0" collapsed="false">
      <c r="A26" s="20" t="s">
        <v>200</v>
      </c>
      <c r="B26" s="27" t="n">
        <f aca="false">Spread!B10/(B24+Spread!B13)</f>
        <v>2.09664429530201</v>
      </c>
      <c r="C26" s="27" t="n">
        <f aca="false">Spread!C10/(C24+Spread!C13)</f>
        <v>2.54478609625668</v>
      </c>
      <c r="D26" s="27" t="n">
        <f aca="false">Spread!D10/(D24+Spread!D13)</f>
        <v>3.05994694960212</v>
      </c>
      <c r="F26" s="3" t="s">
        <v>201</v>
      </c>
    </row>
    <row r="27" customFormat="false" ht="15" hidden="false" customHeight="false" outlineLevel="0" collapsed="false">
      <c r="A27" s="20" t="s">
        <v>157</v>
      </c>
      <c r="B27" s="18" t="n">
        <f aca="false">Inputs!B32</f>
        <v>600000</v>
      </c>
      <c r="C27" s="18" t="n">
        <f aca="false">-Spread!C57</f>
        <v>500000</v>
      </c>
      <c r="D27" s="18" t="n">
        <f aca="false">-Spread!D57</f>
        <v>700000</v>
      </c>
      <c r="F27" s="3"/>
    </row>
    <row r="28" customFormat="false" ht="15" hidden="false" customHeight="false" outlineLevel="0" collapsed="false">
      <c r="A28" s="20" t="s">
        <v>202</v>
      </c>
      <c r="B28" s="27" t="n">
        <f aca="false">(Spread!B10-B27-Spread!B16)/(B24+Spread!B13)</f>
        <v>0.754362416107383</v>
      </c>
      <c r="C28" s="27" t="n">
        <f aca="false">(Spread!C10-C27-Spread!C16)/(C24+Spread!C13)</f>
        <v>1.2346256684492</v>
      </c>
      <c r="D28" s="27" t="n">
        <f aca="false">(Spread!D10-D27-Spread!D16)/(D24+Spread!D13)</f>
        <v>1.20318302387268</v>
      </c>
      <c r="F28" s="3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2" t="s">
        <v>204</v>
      </c>
    </row>
    <row r="2" customFormat="false" ht="15" hidden="false" customHeight="false" outlineLevel="0" collapsed="false">
      <c r="A2" s="3" t="s">
        <v>205</v>
      </c>
    </row>
    <row r="4" customFormat="false" ht="15" hidden="false" customHeight="false" outlineLevel="0" collapsed="false">
      <c r="A4" s="5" t="s">
        <v>206</v>
      </c>
      <c r="B4" s="6" t="s">
        <v>207</v>
      </c>
      <c r="C4" s="6"/>
      <c r="D4" s="6" t="s">
        <v>37</v>
      </c>
    </row>
    <row r="5" customFormat="false" ht="15" hidden="false" customHeight="false" outlineLevel="0" collapsed="false">
      <c r="A5" s="8" t="s">
        <v>208</v>
      </c>
      <c r="B5" s="18" t="n">
        <f aca="false">Spread!D15</f>
        <v>1415200</v>
      </c>
      <c r="D5" s="3"/>
    </row>
    <row r="6" customFormat="false" ht="15" hidden="false" customHeight="false" outlineLevel="0" collapsed="false">
      <c r="A6" s="8" t="s">
        <v>150</v>
      </c>
      <c r="B6" s="18" t="n">
        <f aca="false">Spread!D11</f>
        <v>690000</v>
      </c>
      <c r="D6" s="3"/>
    </row>
    <row r="7" customFormat="false" ht="15" hidden="false" customHeight="false" outlineLevel="0" collapsed="false">
      <c r="A7" s="8" t="s">
        <v>209</v>
      </c>
      <c r="B7" s="18" t="n">
        <f aca="false">Spread!D13</f>
        <v>214000</v>
      </c>
      <c r="D7" s="3" t="s">
        <v>210</v>
      </c>
    </row>
    <row r="8" customFormat="false" ht="15" hidden="false" customHeight="false" outlineLevel="0" collapsed="false">
      <c r="A8" s="8" t="s">
        <v>144</v>
      </c>
      <c r="B8" s="18" t="n">
        <f aca="false">-Spread!D16</f>
        <v>-700000</v>
      </c>
      <c r="D8" s="3" t="s">
        <v>211</v>
      </c>
    </row>
    <row r="9" customFormat="false" ht="15" hidden="false" customHeight="false" outlineLevel="0" collapsed="false">
      <c r="A9" s="7" t="s">
        <v>212</v>
      </c>
      <c r="B9" s="22" t="n">
        <f aca="false">SUM(B5:B8)</f>
        <v>1619200</v>
      </c>
      <c r="D9" s="3"/>
    </row>
    <row r="11" customFormat="false" ht="15" hidden="false" customHeight="false" outlineLevel="0" collapsed="false">
      <c r="A11" s="8" t="s">
        <v>213</v>
      </c>
      <c r="B11" s="18" t="n">
        <f aca="false">Inputs!B18</f>
        <v>665000</v>
      </c>
      <c r="D11" s="3"/>
    </row>
    <row r="12" customFormat="false" ht="15" hidden="false" customHeight="false" outlineLevel="0" collapsed="false">
      <c r="A12" s="8" t="s">
        <v>214</v>
      </c>
      <c r="B12" s="18" t="n">
        <f aca="false">-PMT(Inputs!B8/12,Inputs!B9,Inputs!B7)*12</f>
        <v>511230.198044599</v>
      </c>
      <c r="D12" s="3" t="s">
        <v>215</v>
      </c>
    </row>
    <row r="13" customFormat="false" ht="15" hidden="false" customHeight="false" outlineLevel="0" collapsed="false">
      <c r="A13" s="8" t="s">
        <v>216</v>
      </c>
      <c r="B13" s="18" t="n">
        <f aca="false">Inputs!B15*Inputs!B14</f>
        <v>60750</v>
      </c>
      <c r="D13" s="3" t="s">
        <v>217</v>
      </c>
    </row>
    <row r="14" customFormat="false" ht="15" hidden="false" customHeight="false" outlineLevel="0" collapsed="false">
      <c r="A14" s="7" t="s">
        <v>218</v>
      </c>
      <c r="B14" s="22" t="n">
        <f aca="false">SUM(B11:B13)</f>
        <v>1236980.1980446</v>
      </c>
      <c r="D14" s="3"/>
    </row>
    <row r="16" customFormat="false" ht="15" hidden="false" customHeight="false" outlineLevel="0" collapsed="false">
      <c r="A16" s="7" t="s">
        <v>219</v>
      </c>
      <c r="B16" s="30" t="n">
        <f aca="false">B9/B14</f>
        <v>1.30899427699781</v>
      </c>
      <c r="D16" s="3"/>
    </row>
    <row r="17" customFormat="false" ht="15" hidden="false" customHeight="false" outlineLevel="0" collapsed="false">
      <c r="A17" s="8" t="s">
        <v>220</v>
      </c>
      <c r="B17" s="27" t="n">
        <f aca="false">Inputs!B25</f>
        <v>1.25</v>
      </c>
      <c r="D17" s="3"/>
    </row>
    <row r="18" customFormat="false" ht="15" hidden="false" customHeight="false" outlineLevel="0" collapsed="false">
      <c r="A18" s="8" t="s">
        <v>221</v>
      </c>
      <c r="B18" s="11" t="str">
        <f aca="false">IF(B16&gt;=B17,"PASS","FAIL")</f>
        <v>PASS</v>
      </c>
      <c r="D18" s="3"/>
    </row>
    <row r="19" customFormat="false" ht="15" hidden="false" customHeight="false" outlineLevel="0" collapsed="false">
      <c r="A19" s="7" t="s">
        <v>222</v>
      </c>
      <c r="B19" s="15" t="n">
        <f aca="false">B9-B14</f>
        <v>382219.801955401</v>
      </c>
      <c r="D19" s="3"/>
    </row>
    <row r="20" customFormat="false" ht="15" hidden="false" customHeight="false" outlineLevel="0" collapsed="false">
      <c r="A20" s="8" t="s">
        <v>223</v>
      </c>
      <c r="B20" s="31" t="n">
        <f aca="false">(Spread!D30+Spread!D31+Spread!D35+Inputs!B7)/Spread!D10</f>
        <v>2.34916782246879</v>
      </c>
      <c r="D20" s="3" t="s">
        <v>224</v>
      </c>
    </row>
    <row r="21" customFormat="false" ht="15" hidden="false" customHeight="false" outlineLevel="0" collapsed="false">
      <c r="A21" s="8" t="s">
        <v>225</v>
      </c>
      <c r="B21" s="32" t="str">
        <f aca="false">IF(B20&lt;=Inputs!B27,"PASS","FAIL")</f>
        <v>PASS</v>
      </c>
      <c r="D21" s="3"/>
    </row>
    <row r="23" customFormat="false" ht="15" hidden="false" customHeight="false" outlineLevel="0" collapsed="false">
      <c r="A23" s="5" t="s">
        <v>226</v>
      </c>
      <c r="B23" s="6" t="s">
        <v>207</v>
      </c>
      <c r="C23" s="6"/>
      <c r="D23" s="6" t="s">
        <v>37</v>
      </c>
    </row>
    <row r="24" customFormat="false" ht="15" hidden="false" customHeight="false" outlineLevel="0" collapsed="false">
      <c r="A24" s="8" t="s">
        <v>107</v>
      </c>
      <c r="B24" s="18" t="n">
        <f aca="false">Spread!D5*(1+Inputs!B35)</f>
        <v>18656000</v>
      </c>
      <c r="D24" s="3" t="s">
        <v>227</v>
      </c>
    </row>
    <row r="25" customFormat="false" ht="15" hidden="false" customHeight="false" outlineLevel="0" collapsed="false">
      <c r="A25" s="8" t="s">
        <v>108</v>
      </c>
      <c r="B25" s="18" t="n">
        <f aca="false">B24*(Spread!D6/Spread!D5-Inputs!B36)</f>
        <v>13301728</v>
      </c>
      <c r="D25" s="3" t="s">
        <v>228</v>
      </c>
    </row>
    <row r="26" customFormat="false" ht="15" hidden="false" customHeight="false" outlineLevel="0" collapsed="false">
      <c r="A26" s="7" t="s">
        <v>109</v>
      </c>
      <c r="B26" s="22" t="n">
        <f aca="false">B24-B25</f>
        <v>5354272</v>
      </c>
      <c r="D26" s="3"/>
    </row>
    <row r="27" customFormat="false" ht="15" hidden="false" customHeight="false" outlineLevel="0" collapsed="false">
      <c r="A27" s="8" t="s">
        <v>110</v>
      </c>
      <c r="B27" s="18" t="n">
        <f aca="false">Spread!D8*(1+Inputs!B37)</f>
        <v>460000</v>
      </c>
      <c r="D27" s="3"/>
    </row>
    <row r="28" customFormat="false" ht="15" hidden="false" customHeight="false" outlineLevel="0" collapsed="false">
      <c r="A28" s="8" t="s">
        <v>111</v>
      </c>
      <c r="B28" s="18" t="n">
        <f aca="false">Spread!D9*(1+Inputs!B38)</f>
        <v>2100800</v>
      </c>
      <c r="D28" s="3"/>
    </row>
    <row r="29" customFormat="false" ht="15" hidden="false" customHeight="false" outlineLevel="0" collapsed="false">
      <c r="A29" s="7" t="s">
        <v>112</v>
      </c>
      <c r="B29" s="22" t="n">
        <f aca="false">B26-B27-B28</f>
        <v>2793472</v>
      </c>
      <c r="D29" s="3"/>
    </row>
    <row r="30" customFormat="false" ht="15" hidden="false" customHeight="false" outlineLevel="0" collapsed="false">
      <c r="A30" s="8" t="s">
        <v>229</v>
      </c>
      <c r="B30" s="18" t="n">
        <f aca="false">Spread!D11+Inputs!B5/Inputs!B39</f>
        <v>1190000</v>
      </c>
      <c r="D30" s="3"/>
    </row>
    <row r="31" customFormat="false" ht="15" hidden="false" customHeight="false" outlineLevel="0" collapsed="false">
      <c r="A31" s="8" t="s">
        <v>230</v>
      </c>
      <c r="B31" s="18" t="n">
        <f aca="false">Inputs!B16+Amortization!G4+B13</f>
        <v>358298.668951333</v>
      </c>
      <c r="D31" s="3"/>
    </row>
    <row r="32" customFormat="false" ht="15" hidden="false" customHeight="false" outlineLevel="0" collapsed="false">
      <c r="A32" s="7" t="s">
        <v>148</v>
      </c>
      <c r="B32" s="22" t="n">
        <f aca="false">B29-B30-B31</f>
        <v>1245173.33104867</v>
      </c>
      <c r="D32" s="3"/>
    </row>
    <row r="33" customFormat="false" ht="15" hidden="false" customHeight="false" outlineLevel="0" collapsed="false">
      <c r="A33" s="8" t="s">
        <v>161</v>
      </c>
      <c r="B33" s="18" t="n">
        <f aca="false">B32*Inputs!B40</f>
        <v>560327.9989719</v>
      </c>
      <c r="D33" s="3"/>
    </row>
    <row r="34" customFormat="false" ht="15" hidden="false" customHeight="false" outlineLevel="0" collapsed="false">
      <c r="A34" s="7" t="s">
        <v>231</v>
      </c>
      <c r="B34" s="22" t="n">
        <f aca="false">B29-B33</f>
        <v>2233144.0010281</v>
      </c>
      <c r="D34" s="3" t="s">
        <v>232</v>
      </c>
    </row>
    <row r="35" customFormat="false" ht="15" hidden="false" customHeight="false" outlineLevel="0" collapsed="false">
      <c r="A35" s="8" t="s">
        <v>233</v>
      </c>
      <c r="B35" s="15" t="n">
        <f aca="false">B14</f>
        <v>1236980.1980446</v>
      </c>
      <c r="D35" s="3"/>
    </row>
    <row r="36" customFormat="false" ht="15" hidden="false" customHeight="false" outlineLevel="0" collapsed="false">
      <c r="A36" s="7" t="s">
        <v>234</v>
      </c>
      <c r="B36" s="30" t="n">
        <f aca="false">B34/B35</f>
        <v>1.80531911873628</v>
      </c>
      <c r="D36" s="3"/>
    </row>
    <row r="37" customFormat="false" ht="15" hidden="false" customHeight="false" outlineLevel="0" collapsed="false">
      <c r="A37" s="8" t="s">
        <v>221</v>
      </c>
      <c r="B37" s="32" t="str">
        <f aca="false">IF(B36&gt;=Inputs!B25,"PASS","FAIL")</f>
        <v>PASS</v>
      </c>
      <c r="D3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3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2" t="s">
        <v>235</v>
      </c>
    </row>
    <row r="2" customFormat="false" ht="15" hidden="false" customHeight="false" outlineLevel="0" collapsed="false">
      <c r="A2" s="3" t="s">
        <v>236</v>
      </c>
    </row>
    <row r="4" customFormat="false" ht="15" hidden="false" customHeight="false" outlineLevel="0" collapsed="false">
      <c r="A4" s="5" t="s">
        <v>237</v>
      </c>
      <c r="B4" s="6" t="s">
        <v>238</v>
      </c>
      <c r="C4" s="6" t="s">
        <v>239</v>
      </c>
      <c r="D4" s="6" t="s">
        <v>240</v>
      </c>
      <c r="E4" s="6"/>
      <c r="F4" s="6" t="s">
        <v>37</v>
      </c>
    </row>
    <row r="5" customFormat="false" ht="15" hidden="false" customHeight="false" outlineLevel="0" collapsed="false">
      <c r="A5" s="8" t="s">
        <v>241</v>
      </c>
      <c r="B5" s="14" t="n">
        <v>0.6</v>
      </c>
      <c r="C5" s="14" t="n">
        <v>0.4</v>
      </c>
      <c r="F5" s="3" t="s">
        <v>242</v>
      </c>
    </row>
    <row r="6" customFormat="false" ht="15" hidden="false" customHeight="false" outlineLevel="0" collapsed="false">
      <c r="A6" s="8" t="s">
        <v>243</v>
      </c>
      <c r="B6" s="13" t="n">
        <v>260000</v>
      </c>
      <c r="C6" s="13" t="n">
        <v>200000</v>
      </c>
      <c r="D6" s="15" t="n">
        <f aca="false">B6+C6</f>
        <v>460000</v>
      </c>
      <c r="F6" s="3" t="s">
        <v>244</v>
      </c>
    </row>
    <row r="7" customFormat="false" ht="15" hidden="false" customHeight="false" outlineLevel="0" collapsed="false">
      <c r="A7" s="8" t="s">
        <v>245</v>
      </c>
      <c r="B7" s="18" t="n">
        <f aca="false">B5*Spread!$D$16</f>
        <v>420000</v>
      </c>
      <c r="C7" s="18" t="n">
        <f aca="false">C5*Spread!$D$16</f>
        <v>280000</v>
      </c>
      <c r="D7" s="15" t="n">
        <f aca="false">B7+C7</f>
        <v>700000</v>
      </c>
      <c r="F7" s="3"/>
    </row>
    <row r="8" customFormat="false" ht="15" hidden="false" customHeight="false" outlineLevel="0" collapsed="false">
      <c r="A8" s="8" t="s">
        <v>246</v>
      </c>
      <c r="B8" s="18" t="n">
        <f aca="false">B5*Spread!$D$15</f>
        <v>849120</v>
      </c>
      <c r="C8" s="18" t="n">
        <f aca="false">C5*Spread!$D$15</f>
        <v>566080</v>
      </c>
      <c r="D8" s="15" t="n">
        <f aca="false">B8+C8</f>
        <v>1415200</v>
      </c>
      <c r="F8" s="3" t="s">
        <v>247</v>
      </c>
    </row>
    <row r="9" customFormat="false" ht="15" hidden="false" customHeight="false" outlineLevel="0" collapsed="false">
      <c r="A9" s="8" t="s">
        <v>248</v>
      </c>
      <c r="B9" s="13" t="n">
        <v>54000</v>
      </c>
      <c r="C9" s="13" t="n">
        <v>0</v>
      </c>
      <c r="D9" s="15" t="n">
        <f aca="false">B9+C9</f>
        <v>54000</v>
      </c>
      <c r="F9" s="3" t="s">
        <v>249</v>
      </c>
    </row>
    <row r="10" customFormat="false" ht="15" hidden="false" customHeight="false" outlineLevel="0" collapsed="false">
      <c r="A10" s="8" t="s">
        <v>250</v>
      </c>
      <c r="B10" s="14" t="n">
        <v>0.32</v>
      </c>
      <c r="C10" s="14" t="n">
        <v>0.3</v>
      </c>
      <c r="F10" s="3" t="s">
        <v>251</v>
      </c>
    </row>
    <row r="11" customFormat="false" ht="15" hidden="false" customHeight="false" outlineLevel="0" collapsed="false">
      <c r="A11" s="8" t="s">
        <v>252</v>
      </c>
      <c r="B11" s="15" t="n">
        <f aca="false">-B10*(B6+B8+B9)</f>
        <v>-372198.4</v>
      </c>
      <c r="C11" s="15" t="n">
        <f aca="false">-C10*(C6+C8+C9)</f>
        <v>-229824</v>
      </c>
      <c r="D11" s="15" t="n">
        <f aca="false">B11+C11</f>
        <v>-602022.4</v>
      </c>
      <c r="F11" s="3" t="s">
        <v>253</v>
      </c>
    </row>
    <row r="12" customFormat="false" ht="15" hidden="false" customHeight="false" outlineLevel="0" collapsed="false">
      <c r="A12" s="8" t="s">
        <v>254</v>
      </c>
      <c r="B12" s="13" t="n">
        <v>-150000</v>
      </c>
      <c r="C12" s="13" t="n">
        <v>-110000</v>
      </c>
      <c r="D12" s="15" t="n">
        <f aca="false">B12+C12</f>
        <v>-260000</v>
      </c>
      <c r="F12" s="3" t="s">
        <v>255</v>
      </c>
    </row>
    <row r="13" customFormat="false" ht="15" hidden="false" customHeight="false" outlineLevel="0" collapsed="false">
      <c r="A13" s="7" t="s">
        <v>256</v>
      </c>
      <c r="B13" s="15" t="n">
        <f aca="false">B6+B7+B9+B11+B12</f>
        <v>211801.6</v>
      </c>
      <c r="C13" s="15" t="n">
        <f aca="false">C6+C7+C9+C11+C12</f>
        <v>140176</v>
      </c>
      <c r="D13" s="15" t="n">
        <f aca="false">B13+C13</f>
        <v>351977.6</v>
      </c>
      <c r="F13" s="3"/>
    </row>
    <row r="15" customFormat="false" ht="15" hidden="false" customHeight="false" outlineLevel="0" collapsed="false">
      <c r="A15" s="8" t="s">
        <v>257</v>
      </c>
      <c r="B15" s="13" t="n">
        <v>72000</v>
      </c>
      <c r="C15" s="13" t="n">
        <v>48000</v>
      </c>
      <c r="D15" s="15" t="n">
        <f aca="false">B15+C15</f>
        <v>120000</v>
      </c>
      <c r="F15" s="3" t="s">
        <v>258</v>
      </c>
    </row>
    <row r="16" customFormat="false" ht="15" hidden="false" customHeight="false" outlineLevel="0" collapsed="false">
      <c r="A16" s="8" t="s">
        <v>259</v>
      </c>
      <c r="B16" s="13" t="n">
        <v>14000</v>
      </c>
      <c r="C16" s="13" t="n">
        <v>9000</v>
      </c>
      <c r="D16" s="15" t="n">
        <f aca="false">B16+C16</f>
        <v>23000</v>
      </c>
      <c r="F16" s="3"/>
    </row>
    <row r="17" customFormat="false" ht="15" hidden="false" customHeight="false" outlineLevel="0" collapsed="false">
      <c r="A17" s="8" t="s">
        <v>260</v>
      </c>
      <c r="B17" s="13" t="n">
        <v>30000</v>
      </c>
      <c r="C17" s="13" t="n">
        <v>0</v>
      </c>
      <c r="D17" s="15" t="n">
        <f aca="false">B17+C17</f>
        <v>30000</v>
      </c>
      <c r="F17" s="3"/>
    </row>
    <row r="18" customFormat="false" ht="15" hidden="false" customHeight="false" outlineLevel="0" collapsed="false">
      <c r="A18" s="7" t="s">
        <v>261</v>
      </c>
      <c r="B18" s="15" t="n">
        <f aca="false">SUM(B15:B17)</f>
        <v>116000</v>
      </c>
      <c r="C18" s="15" t="n">
        <f aca="false">SUM(C15:C17)</f>
        <v>57000</v>
      </c>
      <c r="D18" s="15" t="n">
        <f aca="false">B18+C18</f>
        <v>173000</v>
      </c>
      <c r="F18" s="3"/>
    </row>
    <row r="19" customFormat="false" ht="15" hidden="false" customHeight="false" outlineLevel="0" collapsed="false">
      <c r="A19" s="8" t="s">
        <v>262</v>
      </c>
      <c r="B19" s="33" t="n">
        <f aca="false">B13/B18</f>
        <v>1.82587586206897</v>
      </c>
      <c r="C19" s="33" t="n">
        <f aca="false">C13/C18</f>
        <v>2.45922807017544</v>
      </c>
      <c r="D19" s="33" t="n">
        <f aca="false">D13/D18</f>
        <v>2.03455260115607</v>
      </c>
      <c r="F19" s="3"/>
    </row>
    <row r="21" customFormat="false" ht="15" hidden="false" customHeight="false" outlineLevel="0" collapsed="false">
      <c r="A21" s="5" t="s">
        <v>263</v>
      </c>
      <c r="B21" s="6" t="s">
        <v>207</v>
      </c>
      <c r="C21" s="6"/>
      <c r="D21" s="6"/>
      <c r="E21" s="6"/>
      <c r="F21" s="6" t="s">
        <v>37</v>
      </c>
    </row>
    <row r="22" customFormat="false" ht="15" hidden="false" customHeight="false" outlineLevel="0" collapsed="false">
      <c r="A22" s="8" t="s">
        <v>264</v>
      </c>
      <c r="B22" s="18" t="n">
        <f aca="false">ProForma_DSCR!B9</f>
        <v>1619200</v>
      </c>
      <c r="F22" s="3" t="s">
        <v>265</v>
      </c>
    </row>
    <row r="23" customFormat="false" ht="15" hidden="false" customHeight="false" outlineLevel="0" collapsed="false">
      <c r="A23" s="8" t="s">
        <v>266</v>
      </c>
      <c r="B23" s="15" t="n">
        <f aca="false">D13</f>
        <v>351977.6</v>
      </c>
      <c r="F23" s="3"/>
    </row>
    <row r="24" customFormat="false" ht="15" hidden="false" customHeight="false" outlineLevel="0" collapsed="false">
      <c r="A24" s="7" t="s">
        <v>267</v>
      </c>
      <c r="B24" s="34" t="n">
        <f aca="false">B22+B23</f>
        <v>1971177.6</v>
      </c>
      <c r="F24" s="3"/>
    </row>
    <row r="25" customFormat="false" ht="15" hidden="false" customHeight="false" outlineLevel="0" collapsed="false">
      <c r="A25" s="8" t="s">
        <v>268</v>
      </c>
      <c r="B25" s="18" t="n">
        <f aca="false">ProForma_DSCR!B14</f>
        <v>1236980.1980446</v>
      </c>
      <c r="F25" s="3"/>
    </row>
    <row r="26" customFormat="false" ht="15" hidden="false" customHeight="false" outlineLevel="0" collapsed="false">
      <c r="A26" s="8" t="s">
        <v>269</v>
      </c>
      <c r="B26" s="15" t="n">
        <f aca="false">D18</f>
        <v>173000</v>
      </c>
      <c r="F26" s="3"/>
    </row>
    <row r="27" customFormat="false" ht="15" hidden="false" customHeight="false" outlineLevel="0" collapsed="false">
      <c r="A27" s="7" t="s">
        <v>270</v>
      </c>
      <c r="B27" s="34" t="n">
        <f aca="false">B25+B26</f>
        <v>1409980.1980446</v>
      </c>
      <c r="F27" s="3"/>
    </row>
    <row r="28" customFormat="false" ht="15" hidden="false" customHeight="false" outlineLevel="0" collapsed="false">
      <c r="A28" s="7" t="s">
        <v>271</v>
      </c>
      <c r="B28" s="30" t="n">
        <f aca="false">B24/B27</f>
        <v>1.39801793155229</v>
      </c>
      <c r="F28" s="3"/>
    </row>
    <row r="29" customFormat="false" ht="15" hidden="false" customHeight="false" outlineLevel="0" collapsed="false">
      <c r="A29" s="8" t="s">
        <v>220</v>
      </c>
      <c r="B29" s="27" t="n">
        <f aca="false">Inputs!B26</f>
        <v>1.2</v>
      </c>
      <c r="F29" s="3"/>
    </row>
    <row r="30" customFormat="false" ht="15" hidden="false" customHeight="false" outlineLevel="0" collapsed="false">
      <c r="A30" s="8" t="s">
        <v>221</v>
      </c>
      <c r="B30" s="11" t="str">
        <f aca="false">IF(B28&gt;=B29,"PASS","FAIL")</f>
        <v>PASS</v>
      </c>
      <c r="F30" s="3"/>
    </row>
    <row r="32" customFormat="false" ht="15" hidden="false" customHeight="false" outlineLevel="0" collapsed="false">
      <c r="A32" s="5" t="s">
        <v>272</v>
      </c>
      <c r="B32" s="6" t="s">
        <v>238</v>
      </c>
      <c r="C32" s="6" t="s">
        <v>239</v>
      </c>
      <c r="D32" s="6" t="s">
        <v>240</v>
      </c>
      <c r="E32" s="6"/>
      <c r="F32" s="6" t="s">
        <v>37</v>
      </c>
    </row>
    <row r="33" customFormat="false" ht="15" hidden="false" customHeight="false" outlineLevel="0" collapsed="false">
      <c r="A33" s="8" t="s">
        <v>273</v>
      </c>
      <c r="B33" s="13" t="n">
        <v>640000</v>
      </c>
      <c r="C33" s="13" t="n">
        <v>310000</v>
      </c>
      <c r="D33" s="15" t="n">
        <f aca="false">B33+C33</f>
        <v>950000</v>
      </c>
      <c r="F33" s="3" t="s">
        <v>274</v>
      </c>
    </row>
    <row r="34" customFormat="false" ht="15" hidden="false" customHeight="false" outlineLevel="0" collapsed="false">
      <c r="A34" s="8" t="s">
        <v>275</v>
      </c>
      <c r="B34" s="18" t="n">
        <f aca="false">-Inputs!B20</f>
        <v>-400000</v>
      </c>
      <c r="C34" s="13" t="n">
        <v>0</v>
      </c>
      <c r="D34" s="15" t="n">
        <f aca="false">B34+C34</f>
        <v>-400000</v>
      </c>
      <c r="F34" s="3"/>
    </row>
    <row r="35" customFormat="false" ht="15" hidden="false" customHeight="false" outlineLevel="0" collapsed="false">
      <c r="A35" s="7" t="s">
        <v>276</v>
      </c>
      <c r="B35" s="15" t="n">
        <f aca="false">B33+B34</f>
        <v>240000</v>
      </c>
      <c r="C35" s="15" t="n">
        <f aca="false">C33+C34</f>
        <v>310000</v>
      </c>
      <c r="D35" s="15" t="n">
        <f aca="false">B35+C35</f>
        <v>550000</v>
      </c>
      <c r="F35" s="3"/>
    </row>
    <row r="36" customFormat="false" ht="15" hidden="false" customHeight="false" outlineLevel="0" collapsed="false">
      <c r="A36" s="8" t="s">
        <v>277</v>
      </c>
      <c r="B36" s="13" t="n">
        <v>4100000</v>
      </c>
      <c r="C36" s="13" t="n">
        <v>1900000</v>
      </c>
      <c r="D36" s="15" t="n">
        <f aca="false">B36+C36</f>
        <v>6000000</v>
      </c>
      <c r="F36" s="3" t="s">
        <v>278</v>
      </c>
    </row>
    <row r="37" customFormat="false" ht="15" hidden="false" customHeight="false" outlineLevel="0" collapsed="false">
      <c r="A37" s="8" t="s">
        <v>279</v>
      </c>
      <c r="B37" s="13" t="n">
        <v>0</v>
      </c>
      <c r="C37" s="13" t="n">
        <v>0</v>
      </c>
      <c r="D37" s="15" t="n">
        <f aca="false">B37+C37</f>
        <v>0</v>
      </c>
      <c r="F37" s="3" t="s">
        <v>280</v>
      </c>
    </row>
    <row r="38" customFormat="false" ht="15" hidden="false" customHeight="false" outlineLevel="0" collapsed="false">
      <c r="A38" s="7" t="s">
        <v>281</v>
      </c>
      <c r="D38" s="31" t="n">
        <f aca="false">D35/ProForma_DSCR!B14</f>
        <v>0.444631208219366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3"/>
    <col collapsed="false" customWidth="true" hidden="false" outlineLevel="0" max="8" min="5" style="0" width="15"/>
    <col collapsed="false" customWidth="true" hidden="false" outlineLevel="0" max="10" min="9" style="0" width="10"/>
  </cols>
  <sheetData>
    <row r="1" customFormat="false" ht="17.35" hidden="false" customHeight="false" outlineLevel="0" collapsed="false">
      <c r="A1" s="12" t="s">
        <v>282</v>
      </c>
    </row>
    <row r="2" customFormat="false" ht="15" hidden="false" customHeight="false" outlineLevel="0" collapsed="false">
      <c r="A2" s="3" t="s">
        <v>283</v>
      </c>
    </row>
    <row r="4" customFormat="false" ht="15" hidden="false" customHeight="false" outlineLevel="0" collapsed="false">
      <c r="A4" s="7" t="s">
        <v>284</v>
      </c>
      <c r="B4" s="18" t="n">
        <f aca="false">Spread!D5</f>
        <v>17600000</v>
      </c>
    </row>
    <row r="5" customFormat="false" ht="15" hidden="false" customHeight="false" outlineLevel="0" collapsed="false">
      <c r="A5" s="7" t="s">
        <v>285</v>
      </c>
      <c r="B5" s="26" t="n">
        <f aca="false">1-(Spread!D6*Inputs!B43+Spread!D9*Inputs!B44)/Spread!D5</f>
        <v>0.358245454545455</v>
      </c>
    </row>
    <row r="6" customFormat="false" ht="15" hidden="false" customHeight="false" outlineLevel="0" collapsed="false">
      <c r="A6" s="7" t="s">
        <v>286</v>
      </c>
      <c r="B6" s="18" t="n">
        <f aca="false">ProForma_DSCR!B9</f>
        <v>1619200</v>
      </c>
    </row>
    <row r="7" customFormat="false" ht="15" hidden="false" customHeight="false" outlineLevel="0" collapsed="false">
      <c r="A7" s="7" t="s">
        <v>287</v>
      </c>
      <c r="B7" s="18" t="n">
        <f aca="false">ProForma_DSCR!B14</f>
        <v>1236980.1980446</v>
      </c>
    </row>
    <row r="8" customFormat="false" ht="15" hidden="false" customHeight="false" outlineLevel="0" collapsed="false">
      <c r="A8" s="7" t="s">
        <v>288</v>
      </c>
      <c r="B8" s="26" t="n">
        <f aca="false">Spread!D16/Spread!D15</f>
        <v>0.494629734313171</v>
      </c>
    </row>
    <row r="9" customFormat="false" ht="15" hidden="false" customHeight="false" outlineLevel="0" collapsed="false">
      <c r="A9" s="5" t="s">
        <v>289</v>
      </c>
      <c r="B9" s="6" t="s">
        <v>290</v>
      </c>
      <c r="C9" s="6" t="s">
        <v>291</v>
      </c>
      <c r="D9" s="6" t="s">
        <v>292</v>
      </c>
      <c r="E9" s="6" t="s">
        <v>293</v>
      </c>
      <c r="F9" s="6" t="s">
        <v>294</v>
      </c>
      <c r="G9" s="6" t="s">
        <v>295</v>
      </c>
      <c r="H9" s="6" t="s">
        <v>296</v>
      </c>
      <c r="I9" s="6" t="s">
        <v>297</v>
      </c>
      <c r="J9" s="6" t="s">
        <v>221</v>
      </c>
    </row>
    <row r="10" customFormat="false" ht="15" hidden="false" customHeight="false" outlineLevel="0" collapsed="false">
      <c r="A10" s="8" t="s">
        <v>298</v>
      </c>
      <c r="B10" s="14" t="n">
        <v>0</v>
      </c>
      <c r="C10" s="14" t="n">
        <v>0</v>
      </c>
      <c r="D10" s="14" t="n">
        <v>0</v>
      </c>
      <c r="E10" s="15" t="n">
        <f aca="false">$B$4*B10*$B$5+$B$4*(1+B10)*C10</f>
        <v>0</v>
      </c>
      <c r="F10" s="18" t="n">
        <f aca="false">-(E10-Inputs!$B$15*D10)*$B$8</f>
        <v>-0</v>
      </c>
      <c r="G10" s="15" t="n">
        <f aca="false">$B$6+E10+F10</f>
        <v>1619200</v>
      </c>
      <c r="H10" s="18" t="n">
        <f aca="false">$B$7+Inputs!$B$15*D10</f>
        <v>1236980.1980446</v>
      </c>
      <c r="I10" s="30" t="n">
        <f aca="false">G10/H10</f>
        <v>1.30899427699781</v>
      </c>
      <c r="J10" s="8" t="str">
        <f aca="false">IF(I10&gt;=1.25,"PASS",IF(I10&gt;=1,"WATCH","FAIL"))</f>
        <v>PASS</v>
      </c>
    </row>
    <row r="11" customFormat="false" ht="15" hidden="false" customHeight="false" outlineLevel="0" collapsed="false">
      <c r="A11" s="8" t="s">
        <v>299</v>
      </c>
      <c r="B11" s="14" t="n">
        <v>-0.1</v>
      </c>
      <c r="C11" s="14" t="n">
        <v>0</v>
      </c>
      <c r="D11" s="14" t="n">
        <v>0</v>
      </c>
      <c r="E11" s="15" t="n">
        <f aca="false">$B$4*B11*$B$5+$B$4*(1+B11)*C11</f>
        <v>-630512</v>
      </c>
      <c r="F11" s="18" t="n">
        <f aca="false">-(E11-Inputs!$B$15*D11)*$B$8</f>
        <v>311869.983041266</v>
      </c>
      <c r="G11" s="15" t="n">
        <f aca="false">$B$6+E11+F11</f>
        <v>1300557.98304127</v>
      </c>
      <c r="H11" s="18" t="n">
        <f aca="false">$B$7+Inputs!$B$15*D11</f>
        <v>1236980.1980446</v>
      </c>
      <c r="I11" s="30" t="n">
        <f aca="false">G11/H11</f>
        <v>1.05139757701633</v>
      </c>
      <c r="J11" s="8" t="str">
        <f aca="false">IF(I11&gt;=1.25,"PASS",IF(I11&gt;=1,"WATCH","FAIL"))</f>
        <v>WATCH</v>
      </c>
    </row>
    <row r="12" customFormat="false" ht="15" hidden="false" customHeight="false" outlineLevel="0" collapsed="false">
      <c r="A12" s="8" t="s">
        <v>300</v>
      </c>
      <c r="B12" s="14" t="n">
        <v>-0.2</v>
      </c>
      <c r="C12" s="14" t="n">
        <v>0</v>
      </c>
      <c r="D12" s="14" t="n">
        <v>0</v>
      </c>
      <c r="E12" s="15" t="n">
        <f aca="false">$B$4*B12*$B$5+$B$4*(1+B12)*C12</f>
        <v>-1261024</v>
      </c>
      <c r="F12" s="18" t="n">
        <f aca="false">-(E12-Inputs!$B$15*D12)*$B$8</f>
        <v>623739.966082533</v>
      </c>
      <c r="G12" s="15" t="n">
        <f aca="false">$B$6+E12+F12</f>
        <v>981915.966082533</v>
      </c>
      <c r="H12" s="18" t="n">
        <f aca="false">$B$7+Inputs!$B$15*D12</f>
        <v>1236980.1980446</v>
      </c>
      <c r="I12" s="30" t="n">
        <f aca="false">G12/H12</f>
        <v>0.79380087703484</v>
      </c>
      <c r="J12" s="8" t="str">
        <f aca="false">IF(I12&gt;=1.25,"PASS",IF(I12&gt;=1,"WATCH","FAIL"))</f>
        <v>FAIL</v>
      </c>
    </row>
    <row r="13" customFormat="false" ht="15" hidden="false" customHeight="false" outlineLevel="0" collapsed="false">
      <c r="A13" s="8" t="s">
        <v>301</v>
      </c>
      <c r="B13" s="14" t="n">
        <v>0</v>
      </c>
      <c r="C13" s="14" t="n">
        <v>-0.02</v>
      </c>
      <c r="D13" s="14" t="n">
        <v>0</v>
      </c>
      <c r="E13" s="15" t="n">
        <f aca="false">$B$4*B13*$B$5+$B$4*(1+B13)*C13</f>
        <v>-352000</v>
      </c>
      <c r="F13" s="18" t="n">
        <f aca="false">-(E13-Inputs!$B$15*D13)*$B$8</f>
        <v>174109.666478236</v>
      </c>
      <c r="G13" s="15" t="n">
        <f aca="false">$B$6+E13+F13</f>
        <v>1441309.66647824</v>
      </c>
      <c r="H13" s="18" t="n">
        <f aca="false">$B$7+Inputs!$B$15*D13</f>
        <v>1236980.1980446</v>
      </c>
      <c r="I13" s="30" t="n">
        <f aca="false">G13/H13</f>
        <v>1.16518410622631</v>
      </c>
      <c r="J13" s="8" t="str">
        <f aca="false">IF(I13&gt;=1.25,"PASS",IF(I13&gt;=1,"WATCH","FAIL"))</f>
        <v>WATCH</v>
      </c>
    </row>
    <row r="14" customFormat="false" ht="15" hidden="false" customHeight="false" outlineLevel="0" collapsed="false">
      <c r="A14" s="8" t="s">
        <v>302</v>
      </c>
      <c r="B14" s="14" t="n">
        <v>0</v>
      </c>
      <c r="C14" s="14" t="n">
        <v>0</v>
      </c>
      <c r="D14" s="14" t="n">
        <v>0.02</v>
      </c>
      <c r="E14" s="15" t="n">
        <f aca="false">$B$4*B14*$B$5+$B$4*(1+B14)*C14</f>
        <v>0</v>
      </c>
      <c r="F14" s="18" t="n">
        <f aca="false">-(E14-Inputs!$B$15*D14)*$B$8</f>
        <v>8903.33521763708</v>
      </c>
      <c r="G14" s="15" t="n">
        <f aca="false">$B$6+E14+F14</f>
        <v>1628103.33521764</v>
      </c>
      <c r="H14" s="18" t="n">
        <f aca="false">$B$7+Inputs!$B$15*D14</f>
        <v>1254980.1980446</v>
      </c>
      <c r="I14" s="30" t="n">
        <f aca="false">G14/H14</f>
        <v>1.29731396380151</v>
      </c>
      <c r="J14" s="8" t="str">
        <f aca="false">IF(I14&gt;=1.25,"PASS",IF(I14&gt;=1,"WATCH","FAIL"))</f>
        <v>PASS</v>
      </c>
    </row>
    <row r="15" customFormat="false" ht="15" hidden="false" customHeight="false" outlineLevel="0" collapsed="false">
      <c r="A15" s="8" t="s">
        <v>303</v>
      </c>
      <c r="B15" s="14" t="n">
        <v>-0.1</v>
      </c>
      <c r="C15" s="14" t="n">
        <v>-0.01</v>
      </c>
      <c r="D15" s="14" t="n">
        <v>0.02</v>
      </c>
      <c r="E15" s="15" t="n">
        <f aca="false">$B$4*B15*$B$5+$B$4*(1+B15)*C15</f>
        <v>-788912</v>
      </c>
      <c r="F15" s="18" t="n">
        <f aca="false">-(E15-Inputs!$B$15*D15)*$B$8</f>
        <v>399122.66817411</v>
      </c>
      <c r="G15" s="15" t="n">
        <f aca="false">$B$6+E15+F15</f>
        <v>1229410.66817411</v>
      </c>
      <c r="H15" s="18" t="n">
        <f aca="false">$B$7+Inputs!$B$15*D15</f>
        <v>1254980.1980446</v>
      </c>
      <c r="I15" s="30" t="n">
        <f aca="false">G15/H15</f>
        <v>0.979625551135923</v>
      </c>
      <c r="J15" s="8" t="str">
        <f aca="false">IF(I15&gt;=1.25,"PASS",IF(I15&gt;=1,"WATCH","FAIL"))</f>
        <v>FAIL</v>
      </c>
    </row>
    <row r="17" customFormat="false" ht="15" hidden="false" customHeight="false" outlineLevel="0" collapsed="false">
      <c r="A17" s="3" t="s">
        <v>304</v>
      </c>
    </row>
    <row r="19" customFormat="false" ht="15" hidden="false" customHeight="false" outlineLevel="0" collapsed="false">
      <c r="A19" s="5" t="s">
        <v>305</v>
      </c>
      <c r="B19" s="6" t="s">
        <v>36</v>
      </c>
    </row>
    <row r="20" customFormat="false" ht="15" hidden="false" customHeight="false" outlineLevel="0" collapsed="false">
      <c r="A20" s="8" t="s">
        <v>306</v>
      </c>
      <c r="B20" s="35" t="n">
        <f aca="false">-(B6-1.25*B7)/(B4*B5*(1-B8))</f>
        <v>-0.0229017984322208</v>
      </c>
    </row>
    <row r="21" customFormat="false" ht="15" hidden="false" customHeight="false" outlineLevel="0" collapsed="false">
      <c r="A21" s="8" t="s">
        <v>307</v>
      </c>
      <c r="B21" s="35" t="n">
        <f aca="false">-(B6-B7)/(B4*B5*(1-B8))</f>
        <v>-0.11995273115689</v>
      </c>
    </row>
    <row r="22" customFormat="false" ht="15" hidden="false" customHeight="false" outlineLevel="0" collapsed="false">
      <c r="A22" s="8" t="s">
        <v>308</v>
      </c>
      <c r="B22" s="15" t="n">
        <f aca="false">B4*(1+B21)</f>
        <v>15488831.9316387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2" t="s">
        <v>309</v>
      </c>
    </row>
    <row r="2" customFormat="false" ht="15" hidden="false" customHeight="false" outlineLevel="0" collapsed="false">
      <c r="A2" s="3" t="s">
        <v>310</v>
      </c>
    </row>
    <row r="4" customFormat="false" ht="15" hidden="false" customHeight="false" outlineLevel="0" collapsed="false">
      <c r="A4" s="5" t="s">
        <v>311</v>
      </c>
      <c r="B4" s="6" t="s">
        <v>312</v>
      </c>
      <c r="C4" s="6" t="s">
        <v>313</v>
      </c>
      <c r="D4" s="6" t="s">
        <v>314</v>
      </c>
      <c r="E4" s="6"/>
      <c r="F4" s="6" t="s">
        <v>315</v>
      </c>
    </row>
    <row r="5" customFormat="false" ht="15" hidden="false" customHeight="false" outlineLevel="0" collapsed="false">
      <c r="A5" s="8" t="s">
        <v>122</v>
      </c>
      <c r="B5" s="18" t="n">
        <f aca="false">Spread!D20</f>
        <v>2250000</v>
      </c>
      <c r="C5" s="14" t="n">
        <v>0.8</v>
      </c>
      <c r="D5" s="15" t="n">
        <f aca="false">B5*C5</f>
        <v>1800000</v>
      </c>
      <c r="F5" s="3" t="s">
        <v>316</v>
      </c>
    </row>
    <row r="6" customFormat="false" ht="15" hidden="false" customHeight="false" outlineLevel="0" collapsed="false">
      <c r="A6" s="8" t="s">
        <v>123</v>
      </c>
      <c r="B6" s="18" t="n">
        <f aca="false">Spread!D21</f>
        <v>1640000</v>
      </c>
      <c r="C6" s="14" t="n">
        <v>0.5</v>
      </c>
      <c r="D6" s="15" t="n">
        <f aca="false">B6*C6</f>
        <v>820000</v>
      </c>
      <c r="F6" s="3" t="s">
        <v>317</v>
      </c>
    </row>
    <row r="7" customFormat="false" ht="15" hidden="false" customHeight="false" outlineLevel="0" collapsed="false">
      <c r="A7" s="8" t="s">
        <v>318</v>
      </c>
      <c r="B7" s="18" t="n">
        <f aca="false">Spread!D26</f>
        <v>3770000</v>
      </c>
      <c r="C7" s="14" t="n">
        <v>0.5</v>
      </c>
      <c r="D7" s="15" t="n">
        <f aca="false">B7*C7</f>
        <v>1885000</v>
      </c>
      <c r="F7" s="3" t="s">
        <v>319</v>
      </c>
    </row>
    <row r="8" customFormat="false" ht="15" hidden="false" customHeight="false" outlineLevel="0" collapsed="false">
      <c r="A8" s="8" t="s">
        <v>320</v>
      </c>
      <c r="B8" s="18" t="n">
        <f aca="false">Inputs!B5</f>
        <v>3500000</v>
      </c>
      <c r="C8" s="14" t="n">
        <v>0.7</v>
      </c>
      <c r="D8" s="15" t="n">
        <f aca="false">B8*C8</f>
        <v>2450000</v>
      </c>
      <c r="F8" s="3" t="s">
        <v>321</v>
      </c>
    </row>
    <row r="9" customFormat="false" ht="15" hidden="false" customHeight="false" outlineLevel="0" collapsed="false">
      <c r="A9" s="7" t="s">
        <v>322</v>
      </c>
      <c r="D9" s="22" t="n">
        <f aca="false">SUM(D5:D8)</f>
        <v>6955000</v>
      </c>
    </row>
    <row r="11" customFormat="false" ht="15" hidden="false" customHeight="false" outlineLevel="0" collapsed="false">
      <c r="A11" s="5" t="s">
        <v>323</v>
      </c>
      <c r="B11" s="6" t="s">
        <v>207</v>
      </c>
      <c r="C11" s="6"/>
      <c r="D11" s="6"/>
    </row>
    <row r="12" customFormat="false" ht="15" hidden="false" customHeight="false" outlineLevel="0" collapsed="false">
      <c r="A12" s="8" t="s">
        <v>324</v>
      </c>
      <c r="D12" s="18" t="n">
        <f aca="false">Spread!D31+Spread!D35</f>
        <v>1840000</v>
      </c>
    </row>
    <row r="13" customFormat="false" ht="15" hidden="false" customHeight="false" outlineLevel="0" collapsed="false">
      <c r="A13" s="8" t="s">
        <v>325</v>
      </c>
      <c r="D13" s="18" t="n">
        <f aca="false">Inputs!B7</f>
        <v>2800000</v>
      </c>
    </row>
    <row r="14" customFormat="false" ht="15" hidden="false" customHeight="false" outlineLevel="0" collapsed="false">
      <c r="A14" s="8" t="s">
        <v>326</v>
      </c>
      <c r="D14" s="18" t="n">
        <f aca="false">Inputs!B10</f>
        <v>1500000</v>
      </c>
    </row>
    <row r="15" customFormat="false" ht="15" hidden="false" customHeight="false" outlineLevel="0" collapsed="false">
      <c r="A15" s="7" t="s">
        <v>327</v>
      </c>
      <c r="D15" s="22" t="n">
        <f aca="false">SUM(D12:D14)</f>
        <v>6140000</v>
      </c>
    </row>
    <row r="16" customFormat="false" ht="15" hidden="false" customHeight="false" outlineLevel="0" collapsed="false">
      <c r="A16" s="7" t="s">
        <v>328</v>
      </c>
      <c r="D16" s="30" t="n">
        <f aca="false">D9/D15</f>
        <v>1.13273615635179</v>
      </c>
    </row>
    <row r="17" customFormat="false" ht="15" hidden="false" customHeight="false" outlineLevel="0" collapsed="false">
      <c r="A17" s="8" t="s">
        <v>221</v>
      </c>
      <c r="D17" s="32" t="str">
        <f aca="false">IF(D16&gt;=Inputs!B28,"PASS","FAIL")</f>
        <v>PASS</v>
      </c>
    </row>
    <row r="18" customFormat="false" ht="15" hidden="false" customHeight="false" outlineLevel="0" collapsed="false">
      <c r="A18" s="8" t="s">
        <v>329</v>
      </c>
      <c r="D18" s="26" t="n">
        <f aca="false">Inputs!B7/Inputs!B5</f>
        <v>0.8</v>
      </c>
    </row>
    <row r="20" customFormat="false" ht="15" hidden="false" customHeight="false" outlineLevel="0" collapsed="false">
      <c r="A20" s="5" t="s">
        <v>330</v>
      </c>
      <c r="B20" s="6" t="s">
        <v>207</v>
      </c>
      <c r="C20" s="6"/>
      <c r="D20" s="6"/>
    </row>
    <row r="21" customFormat="false" ht="15" hidden="false" customHeight="false" outlineLevel="0" collapsed="false">
      <c r="A21" s="20" t="s">
        <v>331</v>
      </c>
      <c r="D21" s="13" t="n">
        <v>1520000</v>
      </c>
    </row>
    <row r="22" customFormat="false" ht="15" hidden="false" customHeight="false" outlineLevel="0" collapsed="false">
      <c r="A22" s="20" t="s">
        <v>332</v>
      </c>
      <c r="D22" s="13" t="n">
        <v>480000</v>
      </c>
    </row>
    <row r="23" customFormat="false" ht="15" hidden="false" customHeight="false" outlineLevel="0" collapsed="false">
      <c r="A23" s="20" t="s">
        <v>333</v>
      </c>
      <c r="D23" s="13" t="n">
        <v>115000</v>
      </c>
    </row>
    <row r="24" customFormat="false" ht="15" hidden="false" customHeight="false" outlineLevel="0" collapsed="false">
      <c r="A24" s="20" t="s">
        <v>334</v>
      </c>
      <c r="D24" s="13" t="n">
        <v>135000</v>
      </c>
    </row>
    <row r="25" customFormat="false" ht="15" hidden="false" customHeight="false" outlineLevel="0" collapsed="false">
      <c r="A25" s="7" t="s">
        <v>335</v>
      </c>
      <c r="D25" s="22" t="n">
        <f aca="false">SUM(D21:D24)</f>
        <v>2250000</v>
      </c>
    </row>
    <row r="26" customFormat="false" ht="15" hidden="false" customHeight="false" outlineLevel="0" collapsed="false">
      <c r="A26" s="8" t="s">
        <v>336</v>
      </c>
      <c r="D26" s="36" t="n">
        <f aca="false">D25-Spread!D20</f>
        <v>0</v>
      </c>
    </row>
    <row r="27" customFormat="false" ht="15" hidden="false" customHeight="false" outlineLevel="0" collapsed="false">
      <c r="A27" s="20" t="s">
        <v>337</v>
      </c>
      <c r="D27" s="15" t="n">
        <f aca="false">-D24</f>
        <v>-135000</v>
      </c>
    </row>
    <row r="28" customFormat="false" ht="15" hidden="false" customHeight="false" outlineLevel="0" collapsed="false">
      <c r="A28" s="20" t="s">
        <v>338</v>
      </c>
      <c r="D28" s="13" t="n">
        <v>-40000</v>
      </c>
    </row>
    <row r="29" customFormat="false" ht="15" hidden="false" customHeight="false" outlineLevel="0" collapsed="false">
      <c r="A29" s="7" t="s">
        <v>339</v>
      </c>
      <c r="D29" s="22" t="n">
        <f aca="false">D25+D27+D28</f>
        <v>2075000</v>
      </c>
    </row>
    <row r="30" customFormat="false" ht="15" hidden="false" customHeight="false" outlineLevel="0" collapsed="false">
      <c r="A30" s="20" t="s">
        <v>340</v>
      </c>
      <c r="D30" s="14" t="n">
        <v>0.8</v>
      </c>
    </row>
    <row r="31" customFormat="false" ht="15" hidden="false" customHeight="false" outlineLevel="0" collapsed="false">
      <c r="A31" s="7" t="s">
        <v>341</v>
      </c>
      <c r="D31" s="37" t="n">
        <f aca="false">D29*D30</f>
        <v>1660000</v>
      </c>
    </row>
    <row r="33" customFormat="false" ht="15" hidden="false" customHeight="false" outlineLevel="0" collapsed="false">
      <c r="A33" s="20" t="s">
        <v>342</v>
      </c>
      <c r="D33" s="13" t="n">
        <v>1050000</v>
      </c>
    </row>
    <row r="34" customFormat="false" ht="15" hidden="false" customHeight="false" outlineLevel="0" collapsed="false">
      <c r="A34" s="20" t="s">
        <v>343</v>
      </c>
      <c r="D34" s="13" t="n">
        <v>360000</v>
      </c>
    </row>
    <row r="35" customFormat="false" ht="15" hidden="false" customHeight="false" outlineLevel="0" collapsed="false">
      <c r="A35" s="20" t="s">
        <v>344</v>
      </c>
      <c r="D35" s="13" t="n">
        <v>230000</v>
      </c>
    </row>
    <row r="36" customFormat="false" ht="15" hidden="false" customHeight="false" outlineLevel="0" collapsed="false">
      <c r="A36" s="8" t="s">
        <v>336</v>
      </c>
      <c r="D36" s="36" t="n">
        <f aca="false">SUM(D33:D35)-Spread!D21</f>
        <v>0</v>
      </c>
    </row>
    <row r="37" customFormat="false" ht="15" hidden="false" customHeight="false" outlineLevel="0" collapsed="false">
      <c r="A37" s="7" t="s">
        <v>345</v>
      </c>
      <c r="D37" s="37" t="n">
        <f aca="false">D33+D35</f>
        <v>1280000</v>
      </c>
    </row>
    <row r="38" customFormat="false" ht="15" hidden="false" customHeight="false" outlineLevel="0" collapsed="false">
      <c r="A38" s="20" t="s">
        <v>346</v>
      </c>
      <c r="D38" s="14" t="n">
        <v>0.5</v>
      </c>
    </row>
    <row r="39" customFormat="false" ht="15" hidden="false" customHeight="false" outlineLevel="0" collapsed="false">
      <c r="A39" s="20" t="s">
        <v>347</v>
      </c>
      <c r="D39" s="13" t="n">
        <v>600000</v>
      </c>
    </row>
    <row r="40" customFormat="false" ht="15" hidden="false" customHeight="false" outlineLevel="0" collapsed="false">
      <c r="A40" s="7" t="s">
        <v>348</v>
      </c>
      <c r="D40" s="37" t="n">
        <f aca="false">MIN(D37*D38,D39)</f>
        <v>600000</v>
      </c>
    </row>
    <row r="42" customFormat="false" ht="15" hidden="false" customHeight="false" outlineLevel="0" collapsed="false">
      <c r="A42" s="7" t="s">
        <v>349</v>
      </c>
      <c r="D42" s="22" t="n">
        <f aca="false">D31+D40</f>
        <v>2260000</v>
      </c>
    </row>
    <row r="43" customFormat="false" ht="15" hidden="false" customHeight="false" outlineLevel="0" collapsed="false">
      <c r="A43" s="8" t="s">
        <v>350</v>
      </c>
      <c r="D43" s="18" t="n">
        <f aca="false">MIN(D42,Inputs!B10)</f>
        <v>1500000</v>
      </c>
    </row>
    <row r="44" customFormat="false" ht="15" hidden="false" customHeight="false" outlineLevel="0" collapsed="false">
      <c r="A44" s="8" t="s">
        <v>351</v>
      </c>
      <c r="D44" s="18" t="n">
        <f aca="false">-Spread!D30</f>
        <v>-780000</v>
      </c>
    </row>
    <row r="45" customFormat="false" ht="15" hidden="false" customHeight="false" outlineLevel="0" collapsed="false">
      <c r="A45" s="7" t="s">
        <v>352</v>
      </c>
      <c r="D45" s="38" t="n">
        <f aca="false">D43+D44</f>
        <v>720000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Q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62"/>
    <col collapsed="false" customWidth="true" hidden="false" outlineLevel="0" max="8" min="8" style="0" width="18"/>
    <col collapsed="false" customWidth="true" hidden="false" outlineLevel="0" max="17" min="9" style="0" width="12"/>
  </cols>
  <sheetData>
    <row r="1" customFormat="false" ht="17.35" hidden="false" customHeight="false" outlineLevel="0" collapsed="false">
      <c r="A1" s="12" t="s">
        <v>353</v>
      </c>
    </row>
    <row r="2" customFormat="false" ht="15" hidden="false" customHeight="false" outlineLevel="0" collapsed="false">
      <c r="A2" s="3" t="s">
        <v>354</v>
      </c>
    </row>
    <row r="3" customFormat="false" ht="15" hidden="false" customHeight="false" outlineLevel="0" collapsed="false">
      <c r="H3" s="7" t="s">
        <v>355</v>
      </c>
    </row>
    <row r="4" customFormat="false" ht="15" hidden="false" customHeight="false" outlineLevel="0" collapsed="false">
      <c r="A4" s="5" t="s">
        <v>356</v>
      </c>
      <c r="B4" s="6" t="s">
        <v>357</v>
      </c>
      <c r="C4" s="6" t="s">
        <v>358</v>
      </c>
      <c r="D4" s="6" t="s">
        <v>359</v>
      </c>
      <c r="E4" s="6" t="s">
        <v>360</v>
      </c>
      <c r="F4" s="6" t="s">
        <v>361</v>
      </c>
      <c r="H4" s="7" t="s">
        <v>362</v>
      </c>
      <c r="I4" s="39" t="n">
        <v>0</v>
      </c>
      <c r="J4" s="39" t="n">
        <v>0.9</v>
      </c>
      <c r="K4" s="39" t="n">
        <v>1</v>
      </c>
      <c r="L4" s="39" t="n">
        <v>1.1</v>
      </c>
      <c r="M4" s="39" t="n">
        <v>1.25</v>
      </c>
      <c r="N4" s="39" t="n">
        <v>1.5</v>
      </c>
      <c r="O4" s="39" t="n">
        <v>1.75</v>
      </c>
      <c r="P4" s="39" t="n">
        <v>2.25</v>
      </c>
      <c r="Q4" s="39" t="n">
        <v>3</v>
      </c>
    </row>
    <row r="5" customFormat="false" ht="23.85" hidden="false" customHeight="false" outlineLevel="0" collapsed="false">
      <c r="A5" s="8" t="s">
        <v>363</v>
      </c>
      <c r="B5" s="27" t="n">
        <f aca="false">ProForma_DSCR!B16</f>
        <v>1.30899427699781</v>
      </c>
      <c r="C5" s="40" t="n">
        <f aca="false">INDEX($I$5:$Q$5,MATCH(B5,$I$4:$Q$4,1))</f>
        <v>5</v>
      </c>
      <c r="D5" s="14" t="n">
        <v>0.3</v>
      </c>
      <c r="E5" s="41" t="n">
        <f aca="false">C5*D5</f>
        <v>1.5</v>
      </c>
      <c r="F5" s="42" t="s">
        <v>364</v>
      </c>
      <c r="H5" s="7" t="s">
        <v>365</v>
      </c>
      <c r="I5" s="43" t="n">
        <v>9</v>
      </c>
      <c r="J5" s="43" t="n">
        <v>8</v>
      </c>
      <c r="K5" s="43" t="n">
        <v>7</v>
      </c>
      <c r="L5" s="43" t="n">
        <v>6</v>
      </c>
      <c r="M5" s="43" t="n">
        <v>5</v>
      </c>
      <c r="N5" s="43" t="n">
        <v>4</v>
      </c>
      <c r="O5" s="43" t="n">
        <v>3</v>
      </c>
      <c r="P5" s="43" t="n">
        <v>2</v>
      </c>
      <c r="Q5" s="43" t="n">
        <v>1</v>
      </c>
    </row>
    <row r="6" customFormat="false" ht="15" hidden="false" customHeight="false" outlineLevel="0" collapsed="false">
      <c r="A6" s="8" t="s">
        <v>366</v>
      </c>
      <c r="B6" s="27" t="n">
        <f aca="false">ProForma_DSCR!B20</f>
        <v>2.34916782246879</v>
      </c>
      <c r="C6" s="40" t="n">
        <f aca="false">INDEX($I$8:$Q$8,MATCH(B6,$I$7:$Q$7,1))</f>
        <v>4</v>
      </c>
      <c r="D6" s="14" t="n">
        <v>0.15</v>
      </c>
      <c r="E6" s="41" t="n">
        <f aca="false">C6*D6</f>
        <v>0.6</v>
      </c>
      <c r="F6" s="42" t="s">
        <v>367</v>
      </c>
    </row>
    <row r="7" customFormat="false" ht="15" hidden="false" customHeight="false" outlineLevel="0" collapsed="false">
      <c r="A7" s="8" t="s">
        <v>368</v>
      </c>
      <c r="B7" s="27" t="n">
        <f aca="false">Ratios!D11</f>
        <v>1.57430034129693</v>
      </c>
      <c r="C7" s="40" t="n">
        <f aca="false">INDEX($I$11:$Q$11,MATCH(B7,$I$10:$Q$10,1))</f>
        <v>4</v>
      </c>
      <c r="D7" s="14" t="n">
        <v>0.1</v>
      </c>
      <c r="E7" s="41" t="n">
        <f aca="false">C7*D7</f>
        <v>0.4</v>
      </c>
      <c r="F7" s="42" t="s">
        <v>369</v>
      </c>
      <c r="H7" s="7" t="s">
        <v>370</v>
      </c>
      <c r="I7" s="39" t="n">
        <v>0</v>
      </c>
      <c r="J7" s="39" t="n">
        <v>1</v>
      </c>
      <c r="K7" s="39" t="n">
        <v>1.5</v>
      </c>
      <c r="L7" s="39" t="n">
        <v>2</v>
      </c>
      <c r="M7" s="39" t="n">
        <v>2.5</v>
      </c>
      <c r="N7" s="39" t="n">
        <v>3</v>
      </c>
      <c r="O7" s="39" t="n">
        <v>3.5</v>
      </c>
      <c r="P7" s="39" t="n">
        <v>4</v>
      </c>
      <c r="Q7" s="39" t="n">
        <v>5</v>
      </c>
    </row>
    <row r="8" customFormat="false" ht="23.85" hidden="false" customHeight="false" outlineLevel="0" collapsed="false">
      <c r="A8" s="8" t="s">
        <v>371</v>
      </c>
      <c r="B8" s="3" t="s">
        <v>372</v>
      </c>
      <c r="C8" s="43" t="n">
        <v>3</v>
      </c>
      <c r="D8" s="14" t="n">
        <v>0.15</v>
      </c>
      <c r="E8" s="41" t="n">
        <f aca="false">C8*D8</f>
        <v>0.45</v>
      </c>
      <c r="F8" s="42" t="s">
        <v>373</v>
      </c>
      <c r="H8" s="7" t="s">
        <v>374</v>
      </c>
      <c r="I8" s="43" t="n">
        <v>1</v>
      </c>
      <c r="J8" s="43" t="n">
        <v>2</v>
      </c>
      <c r="K8" s="43" t="n">
        <v>3</v>
      </c>
      <c r="L8" s="43" t="n">
        <v>4</v>
      </c>
      <c r="M8" s="43" t="n">
        <v>5</v>
      </c>
      <c r="N8" s="43" t="n">
        <v>6</v>
      </c>
      <c r="O8" s="43" t="n">
        <v>7</v>
      </c>
      <c r="P8" s="43" t="n">
        <v>8</v>
      </c>
      <c r="Q8" s="43" t="n">
        <v>9</v>
      </c>
    </row>
    <row r="9" customFormat="false" ht="23.85" hidden="false" customHeight="false" outlineLevel="0" collapsed="false">
      <c r="A9" s="8" t="s">
        <v>375</v>
      </c>
      <c r="B9" s="3" t="s">
        <v>372</v>
      </c>
      <c r="C9" s="43" t="n">
        <v>5</v>
      </c>
      <c r="D9" s="14" t="n">
        <v>0.1</v>
      </c>
      <c r="E9" s="41" t="n">
        <f aca="false">C9*D9</f>
        <v>0.5</v>
      </c>
      <c r="F9" s="42" t="s">
        <v>376</v>
      </c>
    </row>
    <row r="10" customFormat="false" ht="15" hidden="false" customHeight="false" outlineLevel="0" collapsed="false">
      <c r="A10" s="8" t="s">
        <v>328</v>
      </c>
      <c r="B10" s="27" t="n">
        <f aca="false">Collateral_BB!D16</f>
        <v>1.13273615635179</v>
      </c>
      <c r="C10" s="40" t="n">
        <f aca="false">INDEX($I$14:$Q$14,MATCH(B10,$I$13:$Q$13,1))</f>
        <v>4</v>
      </c>
      <c r="D10" s="14" t="n">
        <v>0.1</v>
      </c>
      <c r="E10" s="41" t="n">
        <f aca="false">C10*D10</f>
        <v>0.4</v>
      </c>
      <c r="F10" s="42" t="s">
        <v>377</v>
      </c>
      <c r="H10" s="7" t="s">
        <v>378</v>
      </c>
      <c r="I10" s="39" t="n">
        <v>0</v>
      </c>
      <c r="J10" s="39" t="n">
        <v>0.8</v>
      </c>
      <c r="K10" s="39" t="n">
        <v>1</v>
      </c>
      <c r="L10" s="39" t="n">
        <v>1.1</v>
      </c>
      <c r="M10" s="39" t="n">
        <v>1.25</v>
      </c>
      <c r="N10" s="39" t="n">
        <v>1.5</v>
      </c>
      <c r="O10" s="39" t="n">
        <v>1.75</v>
      </c>
      <c r="P10" s="39" t="n">
        <v>2</v>
      </c>
      <c r="Q10" s="39" t="n">
        <v>2.5</v>
      </c>
    </row>
    <row r="11" customFormat="false" ht="23.85" hidden="false" customHeight="false" outlineLevel="0" collapsed="false">
      <c r="A11" s="8" t="s">
        <v>379</v>
      </c>
      <c r="B11" s="3" t="s">
        <v>372</v>
      </c>
      <c r="C11" s="43" t="n">
        <v>3</v>
      </c>
      <c r="D11" s="14" t="n">
        <v>0.1</v>
      </c>
      <c r="E11" s="41" t="n">
        <f aca="false">C11*D11</f>
        <v>0.3</v>
      </c>
      <c r="F11" s="42" t="s">
        <v>380</v>
      </c>
      <c r="H11" s="7" t="s">
        <v>381</v>
      </c>
      <c r="I11" s="43" t="n">
        <v>9</v>
      </c>
      <c r="J11" s="43" t="n">
        <v>8</v>
      </c>
      <c r="K11" s="43" t="n">
        <v>7</v>
      </c>
      <c r="L11" s="43" t="n">
        <v>6</v>
      </c>
      <c r="M11" s="43" t="n">
        <v>5</v>
      </c>
      <c r="N11" s="43" t="n">
        <v>4</v>
      </c>
      <c r="O11" s="43" t="n">
        <v>3</v>
      </c>
      <c r="P11" s="43" t="n">
        <v>2</v>
      </c>
      <c r="Q11" s="43" t="n">
        <v>1</v>
      </c>
    </row>
    <row r="12" customFormat="false" ht="15" hidden="false" customHeight="false" outlineLevel="0" collapsed="false">
      <c r="A12" s="7" t="s">
        <v>382</v>
      </c>
      <c r="D12" s="44" t="n">
        <f aca="false">SUM(D5:D11)</f>
        <v>1</v>
      </c>
      <c r="E12" s="45" t="n">
        <f aca="false">SUM(E5:E11)</f>
        <v>4.15</v>
      </c>
    </row>
    <row r="13" customFormat="false" ht="15" hidden="false" customHeight="false" outlineLevel="0" collapsed="false">
      <c r="H13" s="7" t="s">
        <v>383</v>
      </c>
      <c r="I13" s="39" t="n">
        <v>0</v>
      </c>
      <c r="J13" s="39" t="n">
        <v>0.6</v>
      </c>
      <c r="K13" s="39" t="n">
        <v>0.8</v>
      </c>
      <c r="L13" s="39" t="n">
        <v>0.9</v>
      </c>
      <c r="M13" s="39" t="n">
        <v>1</v>
      </c>
      <c r="N13" s="39" t="n">
        <v>1.1</v>
      </c>
      <c r="O13" s="39" t="n">
        <v>1.25</v>
      </c>
      <c r="P13" s="39" t="n">
        <v>1.5</v>
      </c>
      <c r="Q13" s="39" t="n">
        <v>2</v>
      </c>
    </row>
    <row r="14" customFormat="false" ht="15" hidden="false" customHeight="false" outlineLevel="0" collapsed="false">
      <c r="A14" s="7" t="s">
        <v>384</v>
      </c>
      <c r="C14" s="46" t="n">
        <f aca="false">E12</f>
        <v>4.15</v>
      </c>
      <c r="H14" s="7" t="s">
        <v>385</v>
      </c>
      <c r="I14" s="43" t="n">
        <v>9</v>
      </c>
      <c r="J14" s="43" t="n">
        <v>8</v>
      </c>
      <c r="K14" s="43" t="n">
        <v>7</v>
      </c>
      <c r="L14" s="43" t="n">
        <v>6</v>
      </c>
      <c r="M14" s="43" t="n">
        <v>5</v>
      </c>
      <c r="N14" s="43" t="n">
        <v>4</v>
      </c>
      <c r="O14" s="43" t="n">
        <v>3</v>
      </c>
      <c r="P14" s="43" t="n">
        <v>2</v>
      </c>
      <c r="Q14" s="43" t="n">
        <v>1</v>
      </c>
    </row>
    <row r="15" customFormat="false" ht="15" hidden="false" customHeight="false" outlineLevel="0" collapsed="false">
      <c r="A15" s="7" t="s">
        <v>386</v>
      </c>
      <c r="C15" s="47" t="n">
        <f aca="false">ROUND(C14,0)</f>
        <v>4</v>
      </c>
    </row>
    <row r="16" customFormat="false" ht="15" hidden="false" customHeight="false" outlineLevel="0" collapsed="false">
      <c r="A16" s="7" t="s">
        <v>387</v>
      </c>
      <c r="C16" s="11" t="str">
        <f aca="false">INDEX($I$22:$Q$22,C15)</f>
        <v>Satisfactory</v>
      </c>
    </row>
    <row r="21" customFormat="false" ht="15" hidden="false" customHeight="false" outlineLevel="0" collapsed="false">
      <c r="H21" s="7" t="s">
        <v>388</v>
      </c>
      <c r="I21" s="43" t="n">
        <v>1</v>
      </c>
      <c r="J21" s="43" t="n">
        <v>2</v>
      </c>
      <c r="K21" s="43" t="n">
        <v>3</v>
      </c>
      <c r="L21" s="43" t="n">
        <v>4</v>
      </c>
      <c r="M21" s="43" t="n">
        <v>5</v>
      </c>
      <c r="N21" s="43" t="n">
        <v>6</v>
      </c>
      <c r="O21" s="43" t="n">
        <v>7</v>
      </c>
      <c r="P21" s="43" t="n">
        <v>8</v>
      </c>
      <c r="Q21" s="43" t="n">
        <v>9</v>
      </c>
    </row>
    <row r="22" customFormat="false" ht="15" hidden="false" customHeight="false" outlineLevel="0" collapsed="false">
      <c r="H22" s="7" t="s">
        <v>389</v>
      </c>
      <c r="I22" s="8" t="s">
        <v>390</v>
      </c>
      <c r="J22" s="8" t="s">
        <v>391</v>
      </c>
      <c r="K22" s="8" t="s">
        <v>392</v>
      </c>
      <c r="L22" s="8" t="s">
        <v>393</v>
      </c>
      <c r="M22" s="8" t="s">
        <v>394</v>
      </c>
      <c r="N22" s="8" t="s">
        <v>395</v>
      </c>
      <c r="O22" s="8" t="s">
        <v>396</v>
      </c>
      <c r="P22" s="8" t="s">
        <v>397</v>
      </c>
      <c r="Q22" s="8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K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5"/>
    <col collapsed="false" customWidth="true" hidden="false" outlineLevel="0" max="6" min="6" style="0" width="3"/>
    <col collapsed="false" customWidth="true" hidden="false" outlineLevel="0" max="10" min="7" style="0" width="14"/>
    <col collapsed="false" customWidth="true" hidden="false" outlineLevel="0" max="11" min="11" style="0" width="15"/>
  </cols>
  <sheetData>
    <row r="1" customFormat="false" ht="17.35" hidden="false" customHeight="false" outlineLevel="0" collapsed="false">
      <c r="A1" s="12" t="s">
        <v>399</v>
      </c>
    </row>
    <row r="2" customFormat="false" ht="15" hidden="false" customHeight="false" outlineLevel="0" collapsed="false">
      <c r="A2" s="3" t="s">
        <v>400</v>
      </c>
    </row>
    <row r="3" customFormat="false" ht="15" hidden="false" customHeight="false" outlineLevel="0" collapsed="false">
      <c r="G3" s="7" t="s">
        <v>401</v>
      </c>
      <c r="H3" s="7" t="s">
        <v>402</v>
      </c>
    </row>
    <row r="4" customFormat="false" ht="15" hidden="false" customHeight="false" outlineLevel="0" collapsed="false">
      <c r="A4" s="7" t="s">
        <v>403</v>
      </c>
      <c r="C4" s="36" t="n">
        <f aca="false">-PMT(Inputs!B8/12,Inputs!B9,Inputs!B7)</f>
        <v>42602.5165037165</v>
      </c>
      <c r="G4" s="15" t="n">
        <f aca="false">SUM(D7:D18)</f>
        <v>192548.668951333</v>
      </c>
      <c r="H4" s="15" t="n">
        <f aca="false">SUM(E7:E18)</f>
        <v>318681.529093266</v>
      </c>
    </row>
    <row r="6" customFormat="false" ht="15" hidden="false" customHeight="false" outlineLevel="0" collapsed="false">
      <c r="A6" s="5" t="s">
        <v>404</v>
      </c>
      <c r="B6" s="6" t="s">
        <v>405</v>
      </c>
      <c r="C6" s="6" t="s">
        <v>406</v>
      </c>
      <c r="D6" s="6" t="s">
        <v>407</v>
      </c>
      <c r="E6" s="6" t="s">
        <v>408</v>
      </c>
      <c r="G6" s="5" t="s">
        <v>409</v>
      </c>
      <c r="H6" s="6" t="s">
        <v>410</v>
      </c>
      <c r="I6" s="6" t="s">
        <v>407</v>
      </c>
      <c r="J6" s="6" t="s">
        <v>408</v>
      </c>
      <c r="K6" s="6" t="s">
        <v>411</v>
      </c>
    </row>
    <row r="7" customFormat="false" ht="15" hidden="false" customHeight="false" outlineLevel="0" collapsed="false">
      <c r="A7" s="40" t="n">
        <v>1</v>
      </c>
      <c r="B7" s="18" t="n">
        <f aca="false">Inputs!B7</f>
        <v>2800000</v>
      </c>
      <c r="C7" s="15" t="n">
        <f aca="false">$C$4</f>
        <v>42602.5165037165</v>
      </c>
      <c r="D7" s="18" t="n">
        <f aca="false">B7*Inputs!$B$8/12</f>
        <v>16916.6666666667</v>
      </c>
      <c r="E7" s="15" t="n">
        <f aca="false">C7-D7</f>
        <v>25685.8498370499</v>
      </c>
      <c r="G7" s="8" t="s">
        <v>412</v>
      </c>
      <c r="H7" s="15" t="n">
        <f aca="false">SUM(C7:C18)</f>
        <v>511230.198044599</v>
      </c>
      <c r="I7" s="15" t="n">
        <f aca="false">SUM(D7:D18)</f>
        <v>192548.668951333</v>
      </c>
      <c r="J7" s="15" t="n">
        <f aca="false">SUM(E7:E18)</f>
        <v>318681.529093266</v>
      </c>
      <c r="K7" s="15" t="n">
        <f aca="false">B18-E18</f>
        <v>2481318.47090673</v>
      </c>
    </row>
    <row r="8" customFormat="false" ht="15" hidden="false" customHeight="false" outlineLevel="0" collapsed="false">
      <c r="A8" s="40" t="n">
        <v>2</v>
      </c>
      <c r="B8" s="15" t="n">
        <f aca="false">B7-E7</f>
        <v>2774314.15016295</v>
      </c>
      <c r="C8" s="15" t="n">
        <f aca="false">$C$4</f>
        <v>42602.5165037165</v>
      </c>
      <c r="D8" s="18" t="n">
        <f aca="false">B8*Inputs!$B$8/12</f>
        <v>16761.4813239012</v>
      </c>
      <c r="E8" s="15" t="n">
        <f aca="false">C8-D8</f>
        <v>25841.0351798154</v>
      </c>
      <c r="G8" s="8" t="s">
        <v>413</v>
      </c>
      <c r="H8" s="15" t="n">
        <f aca="false">SUM(C19:C30)</f>
        <v>511230.198044599</v>
      </c>
      <c r="I8" s="15" t="n">
        <f aca="false">SUM(D19:D30)</f>
        <v>168660.844110876</v>
      </c>
      <c r="J8" s="15" t="n">
        <f aca="false">SUM(E19:E30)</f>
        <v>342569.353933722</v>
      </c>
      <c r="K8" s="15" t="n">
        <f aca="false">B30-E30</f>
        <v>2138749.11697301</v>
      </c>
    </row>
    <row r="9" customFormat="false" ht="15" hidden="false" customHeight="false" outlineLevel="0" collapsed="false">
      <c r="A9" s="40" t="n">
        <v>3</v>
      </c>
      <c r="B9" s="15" t="n">
        <f aca="false">B8-E8</f>
        <v>2748473.11498314</v>
      </c>
      <c r="C9" s="15" t="n">
        <f aca="false">$C$4</f>
        <v>42602.5165037165</v>
      </c>
      <c r="D9" s="18" t="n">
        <f aca="false">B9*Inputs!$B$8/12</f>
        <v>16605.3584030231</v>
      </c>
      <c r="E9" s="15" t="n">
        <f aca="false">C9-D9</f>
        <v>25997.1581006934</v>
      </c>
      <c r="G9" s="8" t="s">
        <v>414</v>
      </c>
      <c r="H9" s="15" t="n">
        <f aca="false">SUM(C31:C42)</f>
        <v>511230.198044599</v>
      </c>
      <c r="I9" s="15" t="n">
        <f aca="false">SUM(D31:D42)</f>
        <v>142982.42859128</v>
      </c>
      <c r="J9" s="15" t="n">
        <f aca="false">SUM(E31:E42)</f>
        <v>368247.769453318</v>
      </c>
      <c r="K9" s="15" t="n">
        <f aca="false">B42-E42</f>
        <v>1770501.34751969</v>
      </c>
    </row>
    <row r="10" customFormat="false" ht="15" hidden="false" customHeight="false" outlineLevel="0" collapsed="false">
      <c r="A10" s="40" t="n">
        <v>4</v>
      </c>
      <c r="B10" s="15" t="n">
        <f aca="false">B9-E9</f>
        <v>2722475.95688244</v>
      </c>
      <c r="C10" s="15" t="n">
        <f aca="false">$C$4</f>
        <v>42602.5165037165</v>
      </c>
      <c r="D10" s="18" t="n">
        <f aca="false">B10*Inputs!$B$8/12</f>
        <v>16448.2922394981</v>
      </c>
      <c r="E10" s="15" t="n">
        <f aca="false">C10-D10</f>
        <v>26154.2242642185</v>
      </c>
      <c r="G10" s="8" t="s">
        <v>415</v>
      </c>
      <c r="H10" s="15" t="n">
        <f aca="false">SUM(C43:C54)</f>
        <v>511230.198044599</v>
      </c>
      <c r="I10" s="15" t="n">
        <f aca="false">SUM(D43:D54)</f>
        <v>115379.202763858</v>
      </c>
      <c r="J10" s="15" t="n">
        <f aca="false">SUM(E43:E54)</f>
        <v>395850.995280741</v>
      </c>
      <c r="K10" s="15" t="n">
        <f aca="false">B54-E54</f>
        <v>1374650.35223895</v>
      </c>
    </row>
    <row r="11" customFormat="false" ht="15" hidden="false" customHeight="false" outlineLevel="0" collapsed="false">
      <c r="A11" s="40" t="n">
        <v>5</v>
      </c>
      <c r="B11" s="15" t="n">
        <f aca="false">B10-E10</f>
        <v>2696321.73261822</v>
      </c>
      <c r="C11" s="15" t="n">
        <f aca="false">$C$4</f>
        <v>42602.5165037165</v>
      </c>
      <c r="D11" s="18" t="n">
        <f aca="false">B11*Inputs!$B$8/12</f>
        <v>16290.2771345684</v>
      </c>
      <c r="E11" s="15" t="n">
        <f aca="false">C11-D11</f>
        <v>26312.2393691481</v>
      </c>
      <c r="G11" s="8" t="s">
        <v>416</v>
      </c>
      <c r="H11" s="15" t="n">
        <f aca="false">SUM(C55:C66)</f>
        <v>511230.198044599</v>
      </c>
      <c r="I11" s="15" t="n">
        <f aca="false">SUM(D55:D66)</f>
        <v>85706.8861250756</v>
      </c>
      <c r="J11" s="15" t="n">
        <f aca="false">SUM(E55:E66)</f>
        <v>425523.311919523</v>
      </c>
      <c r="K11" s="15" t="n">
        <f aca="false">B66-E66</f>
        <v>949127.04031943</v>
      </c>
    </row>
    <row r="12" customFormat="false" ht="15" hidden="false" customHeight="false" outlineLevel="0" collapsed="false">
      <c r="A12" s="40" t="n">
        <v>6</v>
      </c>
      <c r="B12" s="15" t="n">
        <f aca="false">B11-E11</f>
        <v>2670009.49324908</v>
      </c>
      <c r="C12" s="15" t="n">
        <f aca="false">$C$4</f>
        <v>42602.5165037165</v>
      </c>
      <c r="D12" s="18" t="n">
        <f aca="false">B12*Inputs!$B$8/12</f>
        <v>16131.3073550465</v>
      </c>
      <c r="E12" s="15" t="n">
        <f aca="false">C12-D12</f>
        <v>26471.2091486701</v>
      </c>
      <c r="G12" s="8" t="s">
        <v>417</v>
      </c>
      <c r="H12" s="15" t="n">
        <f aca="false">SUM(C67:C78)</f>
        <v>511230.198044599</v>
      </c>
      <c r="I12" s="15" t="n">
        <f aca="false">SUM(D67:D78)</f>
        <v>53810.3831505036</v>
      </c>
      <c r="J12" s="15" t="n">
        <f aca="false">SUM(E67:E78)</f>
        <v>457419.814894095</v>
      </c>
      <c r="K12" s="15" t="n">
        <f aca="false">B78-E78</f>
        <v>491707.225425335</v>
      </c>
    </row>
    <row r="13" customFormat="false" ht="15" hidden="false" customHeight="false" outlineLevel="0" collapsed="false">
      <c r="A13" s="40" t="n">
        <v>7</v>
      </c>
      <c r="B13" s="15" t="n">
        <f aca="false">B12-E12</f>
        <v>2643538.28410041</v>
      </c>
      <c r="C13" s="15" t="n">
        <f aca="false">$C$4</f>
        <v>42602.5165037165</v>
      </c>
      <c r="D13" s="18" t="n">
        <f aca="false">B13*Inputs!$B$8/12</f>
        <v>15971.3771331066</v>
      </c>
      <c r="E13" s="15" t="n">
        <f aca="false">C13-D13</f>
        <v>26631.1393706099</v>
      </c>
      <c r="G13" s="8" t="s">
        <v>418</v>
      </c>
      <c r="H13" s="15" t="n">
        <f aca="false">SUM(C79:C90)</f>
        <v>511230.198044599</v>
      </c>
      <c r="I13" s="15" t="n">
        <f aca="false">SUM(D79:D90)</f>
        <v>19522.9726192634</v>
      </c>
      <c r="J13" s="15" t="n">
        <f aca="false">SUM(E79:E90)</f>
        <v>491707.225425335</v>
      </c>
      <c r="K13" s="15" t="n">
        <f aca="false">B90-E90</f>
        <v>2.40106601268053E-010</v>
      </c>
    </row>
    <row r="14" customFormat="false" ht="15" hidden="false" customHeight="false" outlineLevel="0" collapsed="false">
      <c r="A14" s="40" t="n">
        <v>8</v>
      </c>
      <c r="B14" s="15" t="n">
        <f aca="false">B13-E13</f>
        <v>2616907.1447298</v>
      </c>
      <c r="C14" s="15" t="n">
        <f aca="false">$C$4</f>
        <v>42602.5165037165</v>
      </c>
      <c r="D14" s="18" t="n">
        <f aca="false">B14*Inputs!$B$8/12</f>
        <v>15810.4806660758</v>
      </c>
      <c r="E14" s="15" t="n">
        <f aca="false">C14-D14</f>
        <v>26792.0358376407</v>
      </c>
    </row>
    <row r="15" customFormat="false" ht="15" hidden="false" customHeight="false" outlineLevel="0" collapsed="false">
      <c r="A15" s="40" t="n">
        <v>9</v>
      </c>
      <c r="B15" s="15" t="n">
        <f aca="false">B14-E14</f>
        <v>2590115.10889215</v>
      </c>
      <c r="C15" s="15" t="n">
        <f aca="false">$C$4</f>
        <v>42602.5165037165</v>
      </c>
      <c r="D15" s="18" t="n">
        <f aca="false">B15*Inputs!$B$8/12</f>
        <v>15648.6121162234</v>
      </c>
      <c r="E15" s="15" t="n">
        <f aca="false">C15-D15</f>
        <v>26953.9043874931</v>
      </c>
    </row>
    <row r="16" customFormat="false" ht="15" hidden="false" customHeight="false" outlineLevel="0" collapsed="false">
      <c r="A16" s="40" t="n">
        <v>10</v>
      </c>
      <c r="B16" s="15" t="n">
        <f aca="false">B15-E15</f>
        <v>2563161.20450466</v>
      </c>
      <c r="C16" s="15" t="n">
        <f aca="false">$C$4</f>
        <v>42602.5165037165</v>
      </c>
      <c r="D16" s="18" t="n">
        <f aca="false">B16*Inputs!$B$8/12</f>
        <v>15485.765610549</v>
      </c>
      <c r="E16" s="15" t="n">
        <f aca="false">C16-D16</f>
        <v>27116.7508931675</v>
      </c>
    </row>
    <row r="17" customFormat="false" ht="15" hidden="false" customHeight="false" outlineLevel="0" collapsed="false">
      <c r="A17" s="40" t="n">
        <v>11</v>
      </c>
      <c r="B17" s="15" t="n">
        <f aca="false">B16-E16</f>
        <v>2536044.45361149</v>
      </c>
      <c r="C17" s="15" t="n">
        <f aca="false">$C$4</f>
        <v>42602.5165037165</v>
      </c>
      <c r="D17" s="18" t="n">
        <f aca="false">B17*Inputs!$B$8/12</f>
        <v>15321.9352405694</v>
      </c>
      <c r="E17" s="15" t="n">
        <f aca="false">C17-D17</f>
        <v>27280.5812631471</v>
      </c>
    </row>
    <row r="18" customFormat="false" ht="15" hidden="false" customHeight="false" outlineLevel="0" collapsed="false">
      <c r="A18" s="40" t="n">
        <v>12</v>
      </c>
      <c r="B18" s="15" t="n">
        <f aca="false">B17-E17</f>
        <v>2508763.87234835</v>
      </c>
      <c r="C18" s="15" t="n">
        <f aca="false">$C$4</f>
        <v>42602.5165037165</v>
      </c>
      <c r="D18" s="18" t="n">
        <f aca="false">B18*Inputs!$B$8/12</f>
        <v>15157.1150621046</v>
      </c>
      <c r="E18" s="15" t="n">
        <f aca="false">C18-D18</f>
        <v>27445.401441612</v>
      </c>
    </row>
    <row r="19" customFormat="false" ht="15" hidden="false" customHeight="false" outlineLevel="0" collapsed="false">
      <c r="A19" s="40" t="n">
        <v>13</v>
      </c>
      <c r="B19" s="15" t="n">
        <f aca="false">B18-E18</f>
        <v>2481318.47090673</v>
      </c>
      <c r="C19" s="15" t="n">
        <f aca="false">$C$4</f>
        <v>42602.5165037165</v>
      </c>
      <c r="D19" s="18" t="n">
        <f aca="false">B19*Inputs!$B$8/12</f>
        <v>14991.2990950615</v>
      </c>
      <c r="E19" s="15" t="n">
        <f aca="false">C19-D19</f>
        <v>27611.217408655</v>
      </c>
    </row>
    <row r="20" customFormat="false" ht="15" hidden="false" customHeight="false" outlineLevel="0" collapsed="false">
      <c r="A20" s="40" t="n">
        <v>14</v>
      </c>
      <c r="B20" s="15" t="n">
        <f aca="false">B19-E19</f>
        <v>2453707.25349808</v>
      </c>
      <c r="C20" s="15" t="n">
        <f aca="false">$C$4</f>
        <v>42602.5165037165</v>
      </c>
      <c r="D20" s="18" t="n">
        <f aca="false">B20*Inputs!$B$8/12</f>
        <v>14824.4813232176</v>
      </c>
      <c r="E20" s="15" t="n">
        <f aca="false">C20-D20</f>
        <v>27778.035180499</v>
      </c>
    </row>
    <row r="21" customFormat="false" ht="15" hidden="false" customHeight="false" outlineLevel="0" collapsed="false">
      <c r="A21" s="40" t="n">
        <v>15</v>
      </c>
      <c r="B21" s="15" t="n">
        <f aca="false">B20-E20</f>
        <v>2425929.21831758</v>
      </c>
      <c r="C21" s="15" t="n">
        <f aca="false">$C$4</f>
        <v>42602.5165037165</v>
      </c>
      <c r="D21" s="18" t="n">
        <f aca="false">B21*Inputs!$B$8/12</f>
        <v>14656.655694002</v>
      </c>
      <c r="E21" s="15" t="n">
        <f aca="false">C21-D21</f>
        <v>27945.8608097145</v>
      </c>
    </row>
    <row r="22" customFormat="false" ht="15" hidden="false" customHeight="false" outlineLevel="0" collapsed="false">
      <c r="A22" s="40" t="n">
        <v>16</v>
      </c>
      <c r="B22" s="15" t="n">
        <f aca="false">B21-E21</f>
        <v>2397983.35750787</v>
      </c>
      <c r="C22" s="15" t="n">
        <f aca="false">$C$4</f>
        <v>42602.5165037165</v>
      </c>
      <c r="D22" s="18" t="n">
        <f aca="false">B22*Inputs!$B$8/12</f>
        <v>14487.8161182767</v>
      </c>
      <c r="E22" s="15" t="n">
        <f aca="false">C22-D22</f>
        <v>28114.7003854399</v>
      </c>
    </row>
    <row r="23" customFormat="false" ht="15" hidden="false" customHeight="false" outlineLevel="0" collapsed="false">
      <c r="A23" s="40" t="n">
        <v>17</v>
      </c>
      <c r="B23" s="15" t="n">
        <f aca="false">B22-E22</f>
        <v>2369868.65712243</v>
      </c>
      <c r="C23" s="15" t="n">
        <f aca="false">$C$4</f>
        <v>42602.5165037165</v>
      </c>
      <c r="D23" s="18" t="n">
        <f aca="false">B23*Inputs!$B$8/12</f>
        <v>14317.9564701147</v>
      </c>
      <c r="E23" s="15" t="n">
        <f aca="false">C23-D23</f>
        <v>28284.5600336019</v>
      </c>
    </row>
    <row r="24" customFormat="false" ht="15" hidden="false" customHeight="false" outlineLevel="0" collapsed="false">
      <c r="A24" s="40" t="n">
        <v>18</v>
      </c>
      <c r="B24" s="15" t="n">
        <f aca="false">B23-E23</f>
        <v>2341584.09708882</v>
      </c>
      <c r="C24" s="15" t="n">
        <f aca="false">$C$4</f>
        <v>42602.5165037165</v>
      </c>
      <c r="D24" s="18" t="n">
        <f aca="false">B24*Inputs!$B$8/12</f>
        <v>14147.0705865783</v>
      </c>
      <c r="E24" s="15" t="n">
        <f aca="false">C24-D24</f>
        <v>28455.4459171382</v>
      </c>
    </row>
    <row r="25" customFormat="false" ht="15" hidden="false" customHeight="false" outlineLevel="0" collapsed="false">
      <c r="A25" s="40" t="n">
        <v>19</v>
      </c>
      <c r="B25" s="15" t="n">
        <f aca="false">B24-E24</f>
        <v>2313128.65117169</v>
      </c>
      <c r="C25" s="15" t="n">
        <f aca="false">$C$4</f>
        <v>42602.5165037165</v>
      </c>
      <c r="D25" s="18" t="n">
        <f aca="false">B25*Inputs!$B$8/12</f>
        <v>13975.1522674956</v>
      </c>
      <c r="E25" s="15" t="n">
        <f aca="false">C25-D25</f>
        <v>28627.3642362209</v>
      </c>
    </row>
    <row r="26" customFormat="false" ht="15" hidden="false" customHeight="false" outlineLevel="0" collapsed="false">
      <c r="A26" s="40" t="n">
        <v>20</v>
      </c>
      <c r="B26" s="15" t="n">
        <f aca="false">B25-E25</f>
        <v>2284501.28693547</v>
      </c>
      <c r="C26" s="15" t="n">
        <f aca="false">$C$4</f>
        <v>42602.5165037165</v>
      </c>
      <c r="D26" s="18" t="n">
        <f aca="false">B26*Inputs!$B$8/12</f>
        <v>13802.1952752351</v>
      </c>
      <c r="E26" s="15" t="n">
        <f aca="false">C26-D26</f>
        <v>28800.3212284814</v>
      </c>
    </row>
    <row r="27" customFormat="false" ht="15" hidden="false" customHeight="false" outlineLevel="0" collapsed="false">
      <c r="A27" s="40" t="n">
        <v>21</v>
      </c>
      <c r="B27" s="15" t="n">
        <f aca="false">B26-E26</f>
        <v>2255700.96570698</v>
      </c>
      <c r="C27" s="15" t="n">
        <f aca="false">$C$4</f>
        <v>42602.5165037165</v>
      </c>
      <c r="D27" s="18" t="n">
        <f aca="false">B27*Inputs!$B$8/12</f>
        <v>13628.1933344797</v>
      </c>
      <c r="E27" s="15" t="n">
        <f aca="false">C27-D27</f>
        <v>28974.3231692369</v>
      </c>
    </row>
    <row r="28" customFormat="false" ht="15" hidden="false" customHeight="false" outlineLevel="0" collapsed="false">
      <c r="A28" s="40" t="n">
        <v>22</v>
      </c>
      <c r="B28" s="15" t="n">
        <f aca="false">B27-E27</f>
        <v>2226726.64253775</v>
      </c>
      <c r="C28" s="15" t="n">
        <f aca="false">$C$4</f>
        <v>42602.5165037165</v>
      </c>
      <c r="D28" s="18" t="n">
        <f aca="false">B28*Inputs!$B$8/12</f>
        <v>13453.1401319989</v>
      </c>
      <c r="E28" s="15" t="n">
        <f aca="false">C28-D28</f>
        <v>29149.3763717177</v>
      </c>
    </row>
    <row r="29" customFormat="false" ht="15" hidden="false" customHeight="false" outlineLevel="0" collapsed="false">
      <c r="A29" s="40" t="n">
        <v>23</v>
      </c>
      <c r="B29" s="15" t="n">
        <f aca="false">B28-E28</f>
        <v>2197577.26616603</v>
      </c>
      <c r="C29" s="15" t="n">
        <f aca="false">$C$4</f>
        <v>42602.5165037165</v>
      </c>
      <c r="D29" s="18" t="n">
        <f aca="false">B29*Inputs!$B$8/12</f>
        <v>13277.0293164198</v>
      </c>
      <c r="E29" s="15" t="n">
        <f aca="false">C29-D29</f>
        <v>29325.4871872968</v>
      </c>
    </row>
    <row r="30" customFormat="false" ht="15" hidden="false" customHeight="false" outlineLevel="0" collapsed="false">
      <c r="A30" s="40" t="n">
        <v>24</v>
      </c>
      <c r="B30" s="15" t="n">
        <f aca="false">B29-E29</f>
        <v>2168251.77897873</v>
      </c>
      <c r="C30" s="15" t="n">
        <f aca="false">$C$4</f>
        <v>42602.5165037165</v>
      </c>
      <c r="D30" s="18" t="n">
        <f aca="false">B30*Inputs!$B$8/12</f>
        <v>13099.8544979965</v>
      </c>
      <c r="E30" s="15" t="n">
        <f aca="false">C30-D30</f>
        <v>29502.66200572</v>
      </c>
    </row>
    <row r="31" customFormat="false" ht="15" hidden="false" customHeight="false" outlineLevel="0" collapsed="false">
      <c r="A31" s="40" t="n">
        <v>25</v>
      </c>
      <c r="B31" s="15" t="n">
        <f aca="false">B30-E30</f>
        <v>2138749.11697301</v>
      </c>
      <c r="C31" s="15" t="n">
        <f aca="false">$C$4</f>
        <v>42602.5165037165</v>
      </c>
      <c r="D31" s="18" t="n">
        <f aca="false">B31*Inputs!$B$8/12</f>
        <v>12921.6092483786</v>
      </c>
      <c r="E31" s="15" t="n">
        <f aca="false">C31-D31</f>
        <v>29680.9072553379</v>
      </c>
    </row>
    <row r="32" customFormat="false" ht="15" hidden="false" customHeight="false" outlineLevel="0" collapsed="false">
      <c r="A32" s="40" t="n">
        <v>26</v>
      </c>
      <c r="B32" s="15" t="n">
        <f aca="false">B31-E31</f>
        <v>2109068.20971767</v>
      </c>
      <c r="C32" s="15" t="n">
        <f aca="false">$C$4</f>
        <v>42602.5165037165</v>
      </c>
      <c r="D32" s="18" t="n">
        <f aca="false">B32*Inputs!$B$8/12</f>
        <v>12742.2871003776</v>
      </c>
      <c r="E32" s="15" t="n">
        <f aca="false">C32-D32</f>
        <v>29860.2294033389</v>
      </c>
    </row>
    <row r="33" customFormat="false" ht="15" hidden="false" customHeight="false" outlineLevel="0" collapsed="false">
      <c r="A33" s="40" t="n">
        <v>27</v>
      </c>
      <c r="B33" s="15" t="n">
        <f aca="false">B32-E32</f>
        <v>2079207.98031434</v>
      </c>
      <c r="C33" s="15" t="n">
        <f aca="false">$C$4</f>
        <v>42602.5165037165</v>
      </c>
      <c r="D33" s="18" t="n">
        <f aca="false">B33*Inputs!$B$8/12</f>
        <v>12561.8815477324</v>
      </c>
      <c r="E33" s="15" t="n">
        <f aca="false">C33-D33</f>
        <v>30040.6349559841</v>
      </c>
    </row>
    <row r="34" customFormat="false" ht="15" hidden="false" customHeight="false" outlineLevel="0" collapsed="false">
      <c r="A34" s="40" t="n">
        <v>28</v>
      </c>
      <c r="B34" s="15" t="n">
        <f aca="false">B33-E33</f>
        <v>2049167.34535835</v>
      </c>
      <c r="C34" s="15" t="n">
        <f aca="false">$C$4</f>
        <v>42602.5165037165</v>
      </c>
      <c r="D34" s="18" t="n">
        <f aca="false">B34*Inputs!$B$8/12</f>
        <v>12380.3860448734</v>
      </c>
      <c r="E34" s="15" t="n">
        <f aca="false">C34-D34</f>
        <v>30222.1304588432</v>
      </c>
    </row>
    <row r="35" customFormat="false" ht="15" hidden="false" customHeight="false" outlineLevel="0" collapsed="false">
      <c r="A35" s="40" t="n">
        <v>29</v>
      </c>
      <c r="B35" s="15" t="n">
        <f aca="false">B34-E34</f>
        <v>2018945.21489951</v>
      </c>
      <c r="C35" s="15" t="n">
        <f aca="false">$C$4</f>
        <v>42602.5165037165</v>
      </c>
      <c r="D35" s="18" t="n">
        <f aca="false">B35*Inputs!$B$8/12</f>
        <v>12197.7940066845</v>
      </c>
      <c r="E35" s="15" t="n">
        <f aca="false">C35-D35</f>
        <v>30404.722497032</v>
      </c>
    </row>
    <row r="36" customFormat="false" ht="15" hidden="false" customHeight="false" outlineLevel="0" collapsed="false">
      <c r="A36" s="40" t="n">
        <v>30</v>
      </c>
      <c r="B36" s="15" t="n">
        <f aca="false">B35-E35</f>
        <v>1988540.49240248</v>
      </c>
      <c r="C36" s="15" t="n">
        <f aca="false">$C$4</f>
        <v>42602.5165037165</v>
      </c>
      <c r="D36" s="18" t="n">
        <f aca="false">B36*Inputs!$B$8/12</f>
        <v>12014.098808265</v>
      </c>
      <c r="E36" s="15" t="n">
        <f aca="false">C36-D36</f>
        <v>30588.4176954516</v>
      </c>
    </row>
    <row r="37" customFormat="false" ht="15" hidden="false" customHeight="false" outlineLevel="0" collapsed="false">
      <c r="A37" s="40" t="n">
        <v>31</v>
      </c>
      <c r="B37" s="15" t="n">
        <f aca="false">B36-E36</f>
        <v>1957952.07470703</v>
      </c>
      <c r="C37" s="15" t="n">
        <f aca="false">$C$4</f>
        <v>42602.5165037165</v>
      </c>
      <c r="D37" s="18" t="n">
        <f aca="false">B37*Inputs!$B$8/12</f>
        <v>11829.2937846883</v>
      </c>
      <c r="E37" s="15" t="n">
        <f aca="false">C37-D37</f>
        <v>30773.2227190283</v>
      </c>
    </row>
    <row r="38" customFormat="false" ht="15" hidden="false" customHeight="false" outlineLevel="0" collapsed="false">
      <c r="A38" s="40" t="n">
        <v>32</v>
      </c>
      <c r="B38" s="15" t="n">
        <f aca="false">B37-E37</f>
        <v>1927178.851988</v>
      </c>
      <c r="C38" s="15" t="n">
        <f aca="false">$C$4</f>
        <v>42602.5165037165</v>
      </c>
      <c r="D38" s="18" t="n">
        <f aca="false">B38*Inputs!$B$8/12</f>
        <v>11643.3722307608</v>
      </c>
      <c r="E38" s="15" t="n">
        <f aca="false">C38-D38</f>
        <v>30959.1442729557</v>
      </c>
    </row>
    <row r="39" customFormat="false" ht="15" hidden="false" customHeight="false" outlineLevel="0" collapsed="false">
      <c r="A39" s="40" t="n">
        <v>33</v>
      </c>
      <c r="B39" s="15" t="n">
        <f aca="false">B38-E38</f>
        <v>1896219.70771504</v>
      </c>
      <c r="C39" s="15" t="n">
        <f aca="false">$C$4</f>
        <v>42602.5165037165</v>
      </c>
      <c r="D39" s="18" t="n">
        <f aca="false">B39*Inputs!$B$8/12</f>
        <v>11456.3274007784</v>
      </c>
      <c r="E39" s="15" t="n">
        <f aca="false">C39-D39</f>
        <v>31146.1891029382</v>
      </c>
    </row>
    <row r="40" customFormat="false" ht="15" hidden="false" customHeight="false" outlineLevel="0" collapsed="false">
      <c r="A40" s="40" t="n">
        <v>34</v>
      </c>
      <c r="B40" s="15" t="n">
        <f aca="false">B39-E39</f>
        <v>1865073.5186121</v>
      </c>
      <c r="C40" s="15" t="n">
        <f aca="false">$C$4</f>
        <v>42602.5165037165</v>
      </c>
      <c r="D40" s="18" t="n">
        <f aca="false">B40*Inputs!$B$8/12</f>
        <v>11268.1525082815</v>
      </c>
      <c r="E40" s="15" t="n">
        <f aca="false">C40-D40</f>
        <v>31334.3639954351</v>
      </c>
    </row>
    <row r="41" customFormat="false" ht="15" hidden="false" customHeight="false" outlineLevel="0" collapsed="false">
      <c r="A41" s="40" t="n">
        <v>35</v>
      </c>
      <c r="B41" s="15" t="n">
        <f aca="false">B40-E40</f>
        <v>1833739.15461667</v>
      </c>
      <c r="C41" s="15" t="n">
        <f aca="false">$C$4</f>
        <v>42602.5165037165</v>
      </c>
      <c r="D41" s="18" t="n">
        <f aca="false">B41*Inputs!$B$8/12</f>
        <v>11078.840725809</v>
      </c>
      <c r="E41" s="15" t="n">
        <f aca="false">C41-D41</f>
        <v>31523.6757779075</v>
      </c>
    </row>
    <row r="42" customFormat="false" ht="15" hidden="false" customHeight="false" outlineLevel="0" collapsed="false">
      <c r="A42" s="40" t="n">
        <v>36</v>
      </c>
      <c r="B42" s="15" t="n">
        <f aca="false">B41-E41</f>
        <v>1802215.47883876</v>
      </c>
      <c r="C42" s="15" t="n">
        <f aca="false">$C$4</f>
        <v>42602.5165037165</v>
      </c>
      <c r="D42" s="18" t="n">
        <f aca="false">B42*Inputs!$B$8/12</f>
        <v>10888.3851846508</v>
      </c>
      <c r="E42" s="15" t="n">
        <f aca="false">C42-D42</f>
        <v>31714.1313190657</v>
      </c>
    </row>
    <row r="43" customFormat="false" ht="15" hidden="false" customHeight="false" outlineLevel="0" collapsed="false">
      <c r="A43" s="40" t="n">
        <v>37</v>
      </c>
      <c r="B43" s="15" t="n">
        <f aca="false">B42-E42</f>
        <v>1770501.34751969</v>
      </c>
      <c r="C43" s="15" t="n">
        <f aca="false">$C$4</f>
        <v>42602.5165037165</v>
      </c>
      <c r="D43" s="18" t="n">
        <f aca="false">B43*Inputs!$B$8/12</f>
        <v>10696.7789745982</v>
      </c>
      <c r="E43" s="15" t="n">
        <f aca="false">C43-D43</f>
        <v>31905.7375291184</v>
      </c>
    </row>
    <row r="44" customFormat="false" ht="15" hidden="false" customHeight="false" outlineLevel="0" collapsed="false">
      <c r="A44" s="40" t="n">
        <v>38</v>
      </c>
      <c r="B44" s="15" t="n">
        <f aca="false">B43-E43</f>
        <v>1738595.60999058</v>
      </c>
      <c r="C44" s="15" t="n">
        <f aca="false">$C$4</f>
        <v>42602.5165037165</v>
      </c>
      <c r="D44" s="18" t="n">
        <f aca="false">B44*Inputs!$B$8/12</f>
        <v>10504.0151436931</v>
      </c>
      <c r="E44" s="15" t="n">
        <f aca="false">C44-D44</f>
        <v>32098.5013600235</v>
      </c>
    </row>
    <row r="45" customFormat="false" ht="15" hidden="false" customHeight="false" outlineLevel="0" collapsed="false">
      <c r="A45" s="40" t="n">
        <v>39</v>
      </c>
      <c r="B45" s="15" t="n">
        <f aca="false">B44-E44</f>
        <v>1706497.10863055</v>
      </c>
      <c r="C45" s="15" t="n">
        <f aca="false">$C$4</f>
        <v>42602.5165037165</v>
      </c>
      <c r="D45" s="18" t="n">
        <f aca="false">B45*Inputs!$B$8/12</f>
        <v>10310.0866979763</v>
      </c>
      <c r="E45" s="15" t="n">
        <f aca="false">C45-D45</f>
        <v>32292.4298057403</v>
      </c>
    </row>
    <row r="46" customFormat="false" ht="15" hidden="false" customHeight="false" outlineLevel="0" collapsed="false">
      <c r="A46" s="40" t="n">
        <v>40</v>
      </c>
      <c r="B46" s="15" t="n">
        <f aca="false">B45-E45</f>
        <v>1674204.67882481</v>
      </c>
      <c r="C46" s="15" t="n">
        <f aca="false">$C$4</f>
        <v>42602.5165037165</v>
      </c>
      <c r="D46" s="18" t="n">
        <f aca="false">B46*Inputs!$B$8/12</f>
        <v>10114.9866012332</v>
      </c>
      <c r="E46" s="15" t="n">
        <f aca="false">C46-D46</f>
        <v>32487.5299024833</v>
      </c>
    </row>
    <row r="47" customFormat="false" ht="15" hidden="false" customHeight="false" outlineLevel="0" collapsed="false">
      <c r="A47" s="40" t="n">
        <v>41</v>
      </c>
      <c r="B47" s="15" t="n">
        <f aca="false">B46-E46</f>
        <v>1641717.14892233</v>
      </c>
      <c r="C47" s="15" t="n">
        <f aca="false">$C$4</f>
        <v>42602.5165037165</v>
      </c>
      <c r="D47" s="18" t="n">
        <f aca="false">B47*Inputs!$B$8/12</f>
        <v>9918.70777473907</v>
      </c>
      <c r="E47" s="15" t="n">
        <f aca="false">C47-D47</f>
        <v>32683.8087289775</v>
      </c>
    </row>
    <row r="48" customFormat="false" ht="15" hidden="false" customHeight="false" outlineLevel="0" collapsed="false">
      <c r="A48" s="40" t="n">
        <v>42</v>
      </c>
      <c r="B48" s="15" t="n">
        <f aca="false">B47-E47</f>
        <v>1609033.34019335</v>
      </c>
      <c r="C48" s="15" t="n">
        <f aca="false">$C$4</f>
        <v>42602.5165037165</v>
      </c>
      <c r="D48" s="18" t="n">
        <f aca="false">B48*Inputs!$B$8/12</f>
        <v>9721.2430970015</v>
      </c>
      <c r="E48" s="15" t="n">
        <f aca="false">C48-D48</f>
        <v>32881.273406715</v>
      </c>
    </row>
    <row r="49" customFormat="false" ht="15" hidden="false" customHeight="false" outlineLevel="0" collapsed="false">
      <c r="A49" s="40" t="n">
        <v>43</v>
      </c>
      <c r="B49" s="15" t="n">
        <f aca="false">B48-E48</f>
        <v>1576152.06678664</v>
      </c>
      <c r="C49" s="15" t="n">
        <f aca="false">$C$4</f>
        <v>42602.5165037165</v>
      </c>
      <c r="D49" s="18" t="n">
        <f aca="false">B49*Inputs!$B$8/12</f>
        <v>9522.58540350259</v>
      </c>
      <c r="E49" s="15" t="n">
        <f aca="false">C49-D49</f>
        <v>33079.931100214</v>
      </c>
    </row>
    <row r="50" customFormat="false" ht="15" hidden="false" customHeight="false" outlineLevel="0" collapsed="false">
      <c r="A50" s="40" t="n">
        <v>44</v>
      </c>
      <c r="B50" s="15" t="n">
        <f aca="false">B49-E49</f>
        <v>1543072.13568642</v>
      </c>
      <c r="C50" s="15" t="n">
        <f aca="false">$C$4</f>
        <v>42602.5165037165</v>
      </c>
      <c r="D50" s="18" t="n">
        <f aca="false">B50*Inputs!$B$8/12</f>
        <v>9322.7274864388</v>
      </c>
      <c r="E50" s="15" t="n">
        <f aca="false">C50-D50</f>
        <v>33279.7890172777</v>
      </c>
    </row>
    <row r="51" customFormat="false" ht="15" hidden="false" customHeight="false" outlineLevel="0" collapsed="false">
      <c r="A51" s="40" t="n">
        <v>45</v>
      </c>
      <c r="B51" s="15" t="n">
        <f aca="false">B50-E50</f>
        <v>1509792.34666914</v>
      </c>
      <c r="C51" s="15" t="n">
        <f aca="false">$C$4</f>
        <v>42602.5165037165</v>
      </c>
      <c r="D51" s="18" t="n">
        <f aca="false">B51*Inputs!$B$8/12</f>
        <v>9121.66209445941</v>
      </c>
      <c r="E51" s="15" t="n">
        <f aca="false">C51-D51</f>
        <v>33480.8544092571</v>
      </c>
    </row>
    <row r="52" customFormat="false" ht="15" hidden="false" customHeight="false" outlineLevel="0" collapsed="false">
      <c r="A52" s="40" t="n">
        <v>46</v>
      </c>
      <c r="B52" s="15" t="n">
        <f aca="false">B51-E51</f>
        <v>1476311.49225989</v>
      </c>
      <c r="C52" s="15" t="n">
        <f aca="false">$C$4</f>
        <v>42602.5165037165</v>
      </c>
      <c r="D52" s="18" t="n">
        <f aca="false">B52*Inputs!$B$8/12</f>
        <v>8919.38193240349</v>
      </c>
      <c r="E52" s="15" t="n">
        <f aca="false">C52-D52</f>
        <v>33683.1345713131</v>
      </c>
    </row>
    <row r="53" customFormat="false" ht="15" hidden="false" customHeight="false" outlineLevel="0" collapsed="false">
      <c r="A53" s="40" t="n">
        <v>47</v>
      </c>
      <c r="B53" s="15" t="n">
        <f aca="false">B52-E52</f>
        <v>1442628.35768857</v>
      </c>
      <c r="C53" s="15" t="n">
        <f aca="false">$C$4</f>
        <v>42602.5165037165</v>
      </c>
      <c r="D53" s="18" t="n">
        <f aca="false">B53*Inputs!$B$8/12</f>
        <v>8715.87966103514</v>
      </c>
      <c r="E53" s="15" t="n">
        <f aca="false">C53-D53</f>
        <v>33886.6368426814</v>
      </c>
    </row>
    <row r="54" customFormat="false" ht="15" hidden="false" customHeight="false" outlineLevel="0" collapsed="false">
      <c r="A54" s="40" t="n">
        <v>48</v>
      </c>
      <c r="B54" s="15" t="n">
        <f aca="false">B53-E53</f>
        <v>1408741.72084589</v>
      </c>
      <c r="C54" s="15" t="n">
        <f aca="false">$C$4</f>
        <v>42602.5165037165</v>
      </c>
      <c r="D54" s="18" t="n">
        <f aca="false">B54*Inputs!$B$8/12</f>
        <v>8511.14789677727</v>
      </c>
      <c r="E54" s="15" t="n">
        <f aca="false">C54-D54</f>
        <v>34091.3686069393</v>
      </c>
    </row>
    <row r="55" customFormat="false" ht="15" hidden="false" customHeight="false" outlineLevel="0" collapsed="false">
      <c r="A55" s="40" t="n">
        <v>49</v>
      </c>
      <c r="B55" s="15" t="n">
        <f aca="false">B54-E54</f>
        <v>1374650.35223895</v>
      </c>
      <c r="C55" s="15" t="n">
        <f aca="false">$C$4</f>
        <v>42602.5165037165</v>
      </c>
      <c r="D55" s="18" t="n">
        <f aca="false">B55*Inputs!$B$8/12</f>
        <v>8305.17921144368</v>
      </c>
      <c r="E55" s="15" t="n">
        <f aca="false">C55-D55</f>
        <v>34297.3372922729</v>
      </c>
    </row>
    <row r="56" customFormat="false" ht="15" hidden="false" customHeight="false" outlineLevel="0" collapsed="false">
      <c r="A56" s="40" t="n">
        <v>50</v>
      </c>
      <c r="B56" s="15" t="n">
        <f aca="false">B55-E55</f>
        <v>1340353.01494668</v>
      </c>
      <c r="C56" s="15" t="n">
        <f aca="false">$C$4</f>
        <v>42602.5165037165</v>
      </c>
      <c r="D56" s="18" t="n">
        <f aca="false">B56*Inputs!$B$8/12</f>
        <v>8097.96613196953</v>
      </c>
      <c r="E56" s="15" t="n">
        <f aca="false">C56-D56</f>
        <v>34504.550371747</v>
      </c>
    </row>
    <row r="57" customFormat="false" ht="15" hidden="false" customHeight="false" outlineLevel="0" collapsed="false">
      <c r="A57" s="40" t="n">
        <v>51</v>
      </c>
      <c r="B57" s="15" t="n">
        <f aca="false">B56-E56</f>
        <v>1305848.46457493</v>
      </c>
      <c r="C57" s="15" t="n">
        <f aca="false">$C$4</f>
        <v>42602.5165037165</v>
      </c>
      <c r="D57" s="18" t="n">
        <f aca="false">B57*Inputs!$B$8/12</f>
        <v>7889.50114014022</v>
      </c>
      <c r="E57" s="15" t="n">
        <f aca="false">C57-D57</f>
        <v>34713.0153635763</v>
      </c>
    </row>
    <row r="58" customFormat="false" ht="15" hidden="false" customHeight="false" outlineLevel="0" collapsed="false">
      <c r="A58" s="40" t="n">
        <v>52</v>
      </c>
      <c r="B58" s="15" t="n">
        <f aca="false">B57-E57</f>
        <v>1271135.44921136</v>
      </c>
      <c r="C58" s="15" t="n">
        <f aca="false">$C$4</f>
        <v>42602.5165037165</v>
      </c>
      <c r="D58" s="18" t="n">
        <f aca="false">B58*Inputs!$B$8/12</f>
        <v>7679.77667231862</v>
      </c>
      <c r="E58" s="15" t="n">
        <f aca="false">C58-D58</f>
        <v>34922.7398313979</v>
      </c>
    </row>
    <row r="59" customFormat="false" ht="15" hidden="false" customHeight="false" outlineLevel="0" collapsed="false">
      <c r="A59" s="40" t="n">
        <v>53</v>
      </c>
      <c r="B59" s="15" t="n">
        <f aca="false">B58-E58</f>
        <v>1236212.70937996</v>
      </c>
      <c r="C59" s="15" t="n">
        <f aca="false">$C$4</f>
        <v>42602.5165037165</v>
      </c>
      <c r="D59" s="18" t="n">
        <f aca="false">B59*Inputs!$B$8/12</f>
        <v>7468.78511917059</v>
      </c>
      <c r="E59" s="15" t="n">
        <f aca="false">C59-D59</f>
        <v>35133.731384546</v>
      </c>
    </row>
    <row r="60" customFormat="false" ht="15" hidden="false" customHeight="false" outlineLevel="0" collapsed="false">
      <c r="A60" s="40" t="n">
        <v>54</v>
      </c>
      <c r="B60" s="15" t="n">
        <f aca="false">B59-E59</f>
        <v>1201078.97799541</v>
      </c>
      <c r="C60" s="15" t="n">
        <f aca="false">$C$4</f>
        <v>42602.5165037165</v>
      </c>
      <c r="D60" s="18" t="n">
        <f aca="false">B60*Inputs!$B$8/12</f>
        <v>7256.51882538896</v>
      </c>
      <c r="E60" s="15" t="n">
        <f aca="false">C60-D60</f>
        <v>35345.9976783276</v>
      </c>
    </row>
    <row r="61" customFormat="false" ht="15" hidden="false" customHeight="false" outlineLevel="0" collapsed="false">
      <c r="A61" s="40" t="n">
        <v>55</v>
      </c>
      <c r="B61" s="15" t="n">
        <f aca="false">B60-E60</f>
        <v>1165732.98031709</v>
      </c>
      <c r="C61" s="15" t="n">
        <f aca="false">$C$4</f>
        <v>42602.5165037165</v>
      </c>
      <c r="D61" s="18" t="n">
        <f aca="false">B61*Inputs!$B$8/12</f>
        <v>7042.97008941573</v>
      </c>
      <c r="E61" s="15" t="n">
        <f aca="false">C61-D61</f>
        <v>35559.5464143008</v>
      </c>
    </row>
    <row r="62" customFormat="false" ht="15" hidden="false" customHeight="false" outlineLevel="0" collapsed="false">
      <c r="A62" s="40" t="n">
        <v>56</v>
      </c>
      <c r="B62" s="15" t="n">
        <f aca="false">B61-E61</f>
        <v>1130173.43390279</v>
      </c>
      <c r="C62" s="15" t="n">
        <f aca="false">$C$4</f>
        <v>42602.5165037165</v>
      </c>
      <c r="D62" s="18" t="n">
        <f aca="false">B62*Inputs!$B$8/12</f>
        <v>6828.13116316266</v>
      </c>
      <c r="E62" s="15" t="n">
        <f aca="false">C62-D62</f>
        <v>35774.3853405539</v>
      </c>
    </row>
    <row r="63" customFormat="false" ht="15" hidden="false" customHeight="false" outlineLevel="0" collapsed="false">
      <c r="A63" s="40" t="n">
        <v>57</v>
      </c>
      <c r="B63" s="15" t="n">
        <f aca="false">B62-E62</f>
        <v>1094399.04856223</v>
      </c>
      <c r="C63" s="15" t="n">
        <f aca="false">$C$4</f>
        <v>42602.5165037165</v>
      </c>
      <c r="D63" s="18" t="n">
        <f aca="false">B63*Inputs!$B$8/12</f>
        <v>6611.99425173015</v>
      </c>
      <c r="E63" s="15" t="n">
        <f aca="false">C63-D63</f>
        <v>35990.5222519864</v>
      </c>
    </row>
    <row r="64" customFormat="false" ht="15" hidden="false" customHeight="false" outlineLevel="0" collapsed="false">
      <c r="A64" s="40" t="n">
        <v>58</v>
      </c>
      <c r="B64" s="15" t="n">
        <f aca="false">B63-E63</f>
        <v>1058408.52631024</v>
      </c>
      <c r="C64" s="15" t="n">
        <f aca="false">$C$4</f>
        <v>42602.5165037165</v>
      </c>
      <c r="D64" s="18" t="n">
        <f aca="false">B64*Inputs!$B$8/12</f>
        <v>6394.5515131244</v>
      </c>
      <c r="E64" s="15" t="n">
        <f aca="false">C64-D64</f>
        <v>36207.9649905922</v>
      </c>
    </row>
    <row r="65" customFormat="false" ht="15" hidden="false" customHeight="false" outlineLevel="0" collapsed="false">
      <c r="A65" s="40" t="n">
        <v>59</v>
      </c>
      <c r="B65" s="15" t="n">
        <f aca="false">B64-E64</f>
        <v>1022200.56131965</v>
      </c>
      <c r="C65" s="15" t="n">
        <f aca="false">$C$4</f>
        <v>42602.5165037165</v>
      </c>
      <c r="D65" s="18" t="n">
        <f aca="false">B65*Inputs!$B$8/12</f>
        <v>6175.7950579729</v>
      </c>
      <c r="E65" s="15" t="n">
        <f aca="false">C65-D65</f>
        <v>36426.7214457436</v>
      </c>
    </row>
    <row r="66" customFormat="false" ht="15" hidden="false" customHeight="false" outlineLevel="0" collapsed="false">
      <c r="A66" s="40" t="n">
        <v>60</v>
      </c>
      <c r="B66" s="15" t="n">
        <f aca="false">B65-E65</f>
        <v>985773.839873909</v>
      </c>
      <c r="C66" s="15" t="n">
        <f aca="false">$C$4</f>
        <v>42602.5165037165</v>
      </c>
      <c r="D66" s="18" t="n">
        <f aca="false">B66*Inputs!$B$8/12</f>
        <v>5955.7169492382</v>
      </c>
      <c r="E66" s="15" t="n">
        <f aca="false">C66-D66</f>
        <v>36646.7995544784</v>
      </c>
    </row>
    <row r="67" customFormat="false" ht="15" hidden="false" customHeight="false" outlineLevel="0" collapsed="false">
      <c r="A67" s="40" t="n">
        <v>61</v>
      </c>
      <c r="B67" s="15" t="n">
        <f aca="false">B66-E66</f>
        <v>949127.04031943</v>
      </c>
      <c r="C67" s="15" t="n">
        <f aca="false">$C$4</f>
        <v>42602.5165037165</v>
      </c>
      <c r="D67" s="18" t="n">
        <f aca="false">B67*Inputs!$B$8/12</f>
        <v>5734.30920192989</v>
      </c>
      <c r="E67" s="15" t="n">
        <f aca="false">C67-D67</f>
        <v>36868.2073017867</v>
      </c>
    </row>
    <row r="68" customFormat="false" ht="15" hidden="false" customHeight="false" outlineLevel="0" collapsed="false">
      <c r="A68" s="40" t="n">
        <v>62</v>
      </c>
      <c r="B68" s="15" t="n">
        <f aca="false">B67-E67</f>
        <v>912258.833017644</v>
      </c>
      <c r="C68" s="15" t="n">
        <f aca="false">$C$4</f>
        <v>42602.5165037165</v>
      </c>
      <c r="D68" s="18" t="n">
        <f aca="false">B68*Inputs!$B$8/12</f>
        <v>5511.56378281493</v>
      </c>
      <c r="E68" s="15" t="n">
        <f aca="false">C68-D68</f>
        <v>37090.9527209016</v>
      </c>
    </row>
    <row r="69" customFormat="false" ht="15" hidden="false" customHeight="false" outlineLevel="0" collapsed="false">
      <c r="A69" s="40" t="n">
        <v>63</v>
      </c>
      <c r="B69" s="15" t="n">
        <f aca="false">B68-E68</f>
        <v>875167.880296742</v>
      </c>
      <c r="C69" s="15" t="n">
        <f aca="false">$C$4</f>
        <v>42602.5165037165</v>
      </c>
      <c r="D69" s="18" t="n">
        <f aca="false">B69*Inputs!$B$8/12</f>
        <v>5287.47261012615</v>
      </c>
      <c r="E69" s="15" t="n">
        <f aca="false">C69-D69</f>
        <v>37315.0438935904</v>
      </c>
    </row>
    <row r="70" customFormat="false" ht="15" hidden="false" customHeight="false" outlineLevel="0" collapsed="false">
      <c r="A70" s="40" t="n">
        <v>64</v>
      </c>
      <c r="B70" s="15" t="n">
        <f aca="false">B69-E69</f>
        <v>837852.836403152</v>
      </c>
      <c r="C70" s="15" t="n">
        <f aca="false">$C$4</f>
        <v>42602.5165037165</v>
      </c>
      <c r="D70" s="18" t="n">
        <f aca="false">B70*Inputs!$B$8/12</f>
        <v>5062.02755326904</v>
      </c>
      <c r="E70" s="15" t="n">
        <f aca="false">C70-D70</f>
        <v>37540.4889504475</v>
      </c>
    </row>
    <row r="71" customFormat="false" ht="15" hidden="false" customHeight="false" outlineLevel="0" collapsed="false">
      <c r="A71" s="40" t="n">
        <v>65</v>
      </c>
      <c r="B71" s="15" t="n">
        <f aca="false">B70-E70</f>
        <v>800312.347452704</v>
      </c>
      <c r="C71" s="15" t="n">
        <f aca="false">$C$4</f>
        <v>42602.5165037165</v>
      </c>
      <c r="D71" s="18" t="n">
        <f aca="false">B71*Inputs!$B$8/12</f>
        <v>4835.22043252676</v>
      </c>
      <c r="E71" s="15" t="n">
        <f aca="false">C71-D71</f>
        <v>37767.2960711898</v>
      </c>
    </row>
    <row r="72" customFormat="false" ht="15" hidden="false" customHeight="false" outlineLevel="0" collapsed="false">
      <c r="A72" s="40" t="n">
        <v>66</v>
      </c>
      <c r="B72" s="15" t="n">
        <f aca="false">B71-E71</f>
        <v>762545.051381514</v>
      </c>
      <c r="C72" s="15" t="n">
        <f aca="false">$C$4</f>
        <v>42602.5165037165</v>
      </c>
      <c r="D72" s="18" t="n">
        <f aca="false">B72*Inputs!$B$8/12</f>
        <v>4607.04301876332</v>
      </c>
      <c r="E72" s="15" t="n">
        <f aca="false">C72-D72</f>
        <v>37995.4734849532</v>
      </c>
    </row>
    <row r="73" customFormat="false" ht="15" hidden="false" customHeight="false" outlineLevel="0" collapsed="false">
      <c r="A73" s="40" t="n">
        <v>67</v>
      </c>
      <c r="B73" s="15" t="n">
        <f aca="false">B72-E72</f>
        <v>724549.577896561</v>
      </c>
      <c r="C73" s="15" t="n">
        <f aca="false">$C$4</f>
        <v>42602.5165037165</v>
      </c>
      <c r="D73" s="18" t="n">
        <f aca="false">B73*Inputs!$B$8/12</f>
        <v>4377.48703312506</v>
      </c>
      <c r="E73" s="15" t="n">
        <f aca="false">C73-D73</f>
        <v>38225.0294705915</v>
      </c>
    </row>
    <row r="74" customFormat="false" ht="15" hidden="false" customHeight="false" outlineLevel="0" collapsed="false">
      <c r="A74" s="40" t="n">
        <v>68</v>
      </c>
      <c r="B74" s="15" t="n">
        <f aca="false">B73-E73</f>
        <v>686324.54842597</v>
      </c>
      <c r="C74" s="15" t="n">
        <f aca="false">$C$4</f>
        <v>42602.5165037165</v>
      </c>
      <c r="D74" s="18" t="n">
        <f aca="false">B74*Inputs!$B$8/12</f>
        <v>4146.54414674023</v>
      </c>
      <c r="E74" s="15" t="n">
        <f aca="false">C74-D74</f>
        <v>38455.9723569763</v>
      </c>
    </row>
    <row r="75" customFormat="false" ht="15" hidden="false" customHeight="false" outlineLevel="0" collapsed="false">
      <c r="A75" s="40" t="n">
        <v>69</v>
      </c>
      <c r="B75" s="15" t="n">
        <f aca="false">B74-E74</f>
        <v>647868.576068993</v>
      </c>
      <c r="C75" s="15" t="n">
        <f aca="false">$C$4</f>
        <v>42602.5165037165</v>
      </c>
      <c r="D75" s="18" t="n">
        <f aca="false">B75*Inputs!$B$8/12</f>
        <v>3914.20598041684</v>
      </c>
      <c r="E75" s="15" t="n">
        <f aca="false">C75-D75</f>
        <v>38688.3105232997</v>
      </c>
    </row>
    <row r="76" customFormat="false" ht="15" hidden="false" customHeight="false" outlineLevel="0" collapsed="false">
      <c r="A76" s="40" t="n">
        <v>70</v>
      </c>
      <c r="B76" s="15" t="n">
        <f aca="false">B75-E75</f>
        <v>609180.265545694</v>
      </c>
      <c r="C76" s="15" t="n">
        <f aca="false">$C$4</f>
        <v>42602.5165037165</v>
      </c>
      <c r="D76" s="18" t="n">
        <f aca="false">B76*Inputs!$B$8/12</f>
        <v>3680.46410433857</v>
      </c>
      <c r="E76" s="15" t="n">
        <f aca="false">C76-D76</f>
        <v>38922.052399378</v>
      </c>
    </row>
    <row r="77" customFormat="false" ht="15" hidden="false" customHeight="false" outlineLevel="0" collapsed="false">
      <c r="A77" s="40" t="n">
        <v>71</v>
      </c>
      <c r="B77" s="15" t="n">
        <f aca="false">B76-E76</f>
        <v>570258.213146316</v>
      </c>
      <c r="C77" s="15" t="n">
        <f aca="false">$C$4</f>
        <v>42602.5165037165</v>
      </c>
      <c r="D77" s="18" t="n">
        <f aca="false">B77*Inputs!$B$8/12</f>
        <v>3445.31003775899</v>
      </c>
      <c r="E77" s="15" t="n">
        <f aca="false">C77-D77</f>
        <v>39157.2064659576</v>
      </c>
    </row>
    <row r="78" customFormat="false" ht="15" hidden="false" customHeight="false" outlineLevel="0" collapsed="false">
      <c r="A78" s="40" t="n">
        <v>72</v>
      </c>
      <c r="B78" s="15" t="n">
        <f aca="false">B77-E77</f>
        <v>531101.006680358</v>
      </c>
      <c r="C78" s="15" t="n">
        <f aca="false">$C$4</f>
        <v>42602.5165037165</v>
      </c>
      <c r="D78" s="18" t="n">
        <f aca="false">B78*Inputs!$B$8/12</f>
        <v>3208.73524869383</v>
      </c>
      <c r="E78" s="15" t="n">
        <f aca="false">C78-D78</f>
        <v>39393.7812550227</v>
      </c>
    </row>
    <row r="79" customFormat="false" ht="15" hidden="false" customHeight="false" outlineLevel="0" collapsed="false">
      <c r="A79" s="40" t="n">
        <v>73</v>
      </c>
      <c r="B79" s="15" t="n">
        <f aca="false">B78-E78</f>
        <v>491707.225425335</v>
      </c>
      <c r="C79" s="15" t="n">
        <f aca="false">$C$4</f>
        <v>42602.5165037165</v>
      </c>
      <c r="D79" s="18" t="n">
        <f aca="false">B79*Inputs!$B$8/12</f>
        <v>2970.7311536114</v>
      </c>
      <c r="E79" s="15" t="n">
        <f aca="false">C79-D79</f>
        <v>39631.7853501051</v>
      </c>
    </row>
    <row r="80" customFormat="false" ht="15" hidden="false" customHeight="false" outlineLevel="0" collapsed="false">
      <c r="A80" s="40" t="n">
        <v>74</v>
      </c>
      <c r="B80" s="15" t="n">
        <f aca="false">B79-E79</f>
        <v>452075.44007523</v>
      </c>
      <c r="C80" s="15" t="n">
        <f aca="false">$C$4</f>
        <v>42602.5165037165</v>
      </c>
      <c r="D80" s="18" t="n">
        <f aca="false">B80*Inputs!$B$8/12</f>
        <v>2731.28911712118</v>
      </c>
      <c r="E80" s="15" t="n">
        <f aca="false">C80-D80</f>
        <v>39871.2273865954</v>
      </c>
    </row>
    <row r="81" customFormat="false" ht="15" hidden="false" customHeight="false" outlineLevel="0" collapsed="false">
      <c r="A81" s="40" t="n">
        <v>75</v>
      </c>
      <c r="B81" s="15" t="n">
        <f aca="false">B80-E80</f>
        <v>412204.212688635</v>
      </c>
      <c r="C81" s="15" t="n">
        <f aca="false">$C$4</f>
        <v>42602.5165037165</v>
      </c>
      <c r="D81" s="18" t="n">
        <f aca="false">B81*Inputs!$B$8/12</f>
        <v>2490.4004516605</v>
      </c>
      <c r="E81" s="15" t="n">
        <f aca="false">C81-D81</f>
        <v>40112.116052056</v>
      </c>
    </row>
    <row r="82" customFormat="false" ht="15" hidden="false" customHeight="false" outlineLevel="0" collapsed="false">
      <c r="A82" s="40" t="n">
        <v>76</v>
      </c>
      <c r="B82" s="15" t="n">
        <f aca="false">B81-E81</f>
        <v>372092.096636579</v>
      </c>
      <c r="C82" s="15" t="n">
        <f aca="false">$C$4</f>
        <v>42602.5165037165</v>
      </c>
      <c r="D82" s="18" t="n">
        <f aca="false">B82*Inputs!$B$8/12</f>
        <v>2248.05641717933</v>
      </c>
      <c r="E82" s="15" t="n">
        <f aca="false">C82-D82</f>
        <v>40354.4600865372</v>
      </c>
    </row>
    <row r="83" customFormat="false" ht="15" hidden="false" customHeight="false" outlineLevel="0" collapsed="false">
      <c r="A83" s="40" t="n">
        <v>77</v>
      </c>
      <c r="B83" s="15" t="n">
        <f aca="false">B82-E82</f>
        <v>331737.636550042</v>
      </c>
      <c r="C83" s="15" t="n">
        <f aca="false">$C$4</f>
        <v>42602.5165037165</v>
      </c>
      <c r="D83" s="18" t="n">
        <f aca="false">B83*Inputs!$B$8/12</f>
        <v>2004.24822082317</v>
      </c>
      <c r="E83" s="15" t="n">
        <f aca="false">C83-D83</f>
        <v>40598.2682828934</v>
      </c>
    </row>
    <row r="84" customFormat="false" ht="15" hidden="false" customHeight="false" outlineLevel="0" collapsed="false">
      <c r="A84" s="40" t="n">
        <v>78</v>
      </c>
      <c r="B84" s="15" t="n">
        <f aca="false">B83-E83</f>
        <v>291139.368267148</v>
      </c>
      <c r="C84" s="15" t="n">
        <f aca="false">$C$4</f>
        <v>42602.5165037165</v>
      </c>
      <c r="D84" s="18" t="n">
        <f aca="false">B84*Inputs!$B$8/12</f>
        <v>1758.96701661402</v>
      </c>
      <c r="E84" s="15" t="n">
        <f aca="false">C84-D84</f>
        <v>40843.5494871025</v>
      </c>
    </row>
    <row r="85" customFormat="false" ht="15" hidden="false" customHeight="false" outlineLevel="0" collapsed="false">
      <c r="A85" s="40" t="n">
        <v>79</v>
      </c>
      <c r="B85" s="15" t="n">
        <f aca="false">B84-E84</f>
        <v>250295.818780046</v>
      </c>
      <c r="C85" s="15" t="n">
        <f aca="false">$C$4</f>
        <v>42602.5165037165</v>
      </c>
      <c r="D85" s="18" t="n">
        <f aca="false">B85*Inputs!$B$8/12</f>
        <v>1512.20390512944</v>
      </c>
      <c r="E85" s="15" t="n">
        <f aca="false">C85-D85</f>
        <v>41090.3125985871</v>
      </c>
    </row>
    <row r="86" customFormat="false" ht="15" hidden="false" customHeight="false" outlineLevel="0" collapsed="false">
      <c r="A86" s="40" t="n">
        <v>80</v>
      </c>
      <c r="B86" s="15" t="n">
        <f aca="false">B85-E85</f>
        <v>209205.506181459</v>
      </c>
      <c r="C86" s="15" t="n">
        <f aca="false">$C$4</f>
        <v>42602.5165037165</v>
      </c>
      <c r="D86" s="18" t="n">
        <f aca="false">B86*Inputs!$B$8/12</f>
        <v>1263.94993317965</v>
      </c>
      <c r="E86" s="15" t="n">
        <f aca="false">C86-D86</f>
        <v>41338.5665705369</v>
      </c>
    </row>
    <row r="87" customFormat="false" ht="15" hidden="false" customHeight="false" outlineLevel="0" collapsed="false">
      <c r="A87" s="40" t="n">
        <v>81</v>
      </c>
      <c r="B87" s="15" t="n">
        <f aca="false">B86-E86</f>
        <v>167866.939610922</v>
      </c>
      <c r="C87" s="15" t="n">
        <f aca="false">$C$4</f>
        <v>42602.5165037165</v>
      </c>
      <c r="D87" s="18" t="n">
        <f aca="false">B87*Inputs!$B$8/12</f>
        <v>1014.19609348265</v>
      </c>
      <c r="E87" s="15" t="n">
        <f aca="false">C87-D87</f>
        <v>41588.3204102339</v>
      </c>
    </row>
    <row r="88" customFormat="false" ht="15" hidden="false" customHeight="false" outlineLevel="0" collapsed="false">
      <c r="A88" s="40" t="n">
        <v>82</v>
      </c>
      <c r="B88" s="15" t="n">
        <f aca="false">B87-E87</f>
        <v>126278.619200688</v>
      </c>
      <c r="C88" s="15" t="n">
        <f aca="false">$C$4</f>
        <v>42602.5165037165</v>
      </c>
      <c r="D88" s="18" t="n">
        <f aca="false">B88*Inputs!$B$8/12</f>
        <v>762.933324337489</v>
      </c>
      <c r="E88" s="15" t="n">
        <f aca="false">C88-D88</f>
        <v>41839.5831793791</v>
      </c>
    </row>
    <row r="89" customFormat="false" ht="15" hidden="false" customHeight="false" outlineLevel="0" collapsed="false">
      <c r="A89" s="40" t="n">
        <v>83</v>
      </c>
      <c r="B89" s="15" t="n">
        <f aca="false">B88-E88</f>
        <v>84439.0360213088</v>
      </c>
      <c r="C89" s="15" t="n">
        <f aca="false">$C$4</f>
        <v>42602.5165037165</v>
      </c>
      <c r="D89" s="18" t="n">
        <f aca="false">B89*Inputs!$B$8/12</f>
        <v>510.152509295407</v>
      </c>
      <c r="E89" s="15" t="n">
        <f aca="false">C89-D89</f>
        <v>42092.3639944211</v>
      </c>
    </row>
    <row r="90" customFormat="false" ht="15" hidden="false" customHeight="false" outlineLevel="0" collapsed="false">
      <c r="A90" s="40" t="n">
        <v>84</v>
      </c>
      <c r="B90" s="15" t="n">
        <f aca="false">B89-E89</f>
        <v>42346.6720268877</v>
      </c>
      <c r="C90" s="15" t="n">
        <f aca="false">$C$4</f>
        <v>42602.5165037165</v>
      </c>
      <c r="D90" s="18" t="n">
        <f aca="false">B90*Inputs!$B$8/12</f>
        <v>255.844476829113</v>
      </c>
      <c r="E90" s="15" t="n">
        <f aca="false">C90-D90</f>
        <v>42346.6720268874</v>
      </c>
    </row>
    <row r="92" customFormat="false" ht="15" hidden="false" customHeight="false" outlineLevel="0" collapsed="false">
      <c r="A92" s="7" t="s">
        <v>419</v>
      </c>
      <c r="B92" s="23" t="n">
        <f aca="false">B90-E90</f>
        <v>2.40106601268053E-010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2026-10-23T21:59:27Z</dcterms:created>
  <dc:creator>openpyxl</dc:creator>
  <dc:description/>
  <dc:language>en-US</dc:language>
  <cp:lastModifiedBy/>
  <dcterms:modified xsi:type="dcterms:W3CDTF">2026-10-23T21:59:27Z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