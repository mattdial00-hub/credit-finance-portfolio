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nthly_Data" sheetId="2" state="visible" r:id="rId4"/>
    <sheet name="BvA" sheetId="3" state="visible" r:id="rId5"/>
    <sheet name="Margin_Bridge" sheetId="4" state="visible" r:id="rId6"/>
    <sheet name="FY_Forecast" sheetId="5" state="visible" r:id="rId7"/>
    <sheet name="GL_Cash" sheetId="6" state="visible" r:id="rId8"/>
    <sheet name="Bank_Stmt" sheetId="7" state="visible" r:id="rId9"/>
    <sheet name="Bank_Rec" sheetId="8" state="visible" r:id="rId10"/>
    <sheet name="KPI_Tre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<sst xmlns="http://schemas.openxmlformats.org/spreadsheetml/2006/main" count="486" uniqueCount="285">
  <si>
    <t xml:space="preserve">Monthly Close Pack: September 2026</t>
  </si>
  <si>
    <t xml:space="preserve">Brazos Bend Fabrication, LLC  |  Budget vs. actual, full-year forecast, bank reconciliation, and KPIs</t>
  </si>
  <si>
    <t xml:space="preserve">Prepared by Matthew Dial  |  Portfolio work sample  |  October 2026</t>
  </si>
  <si>
    <t xml:space="preserve">DISCLAIMER: Brazos Bend Fabrication, LLC and all figures are fictional and were created for portfolio demonstration only. No real company or employer data is used.</t>
  </si>
  <si>
    <t xml:space="preserve">Tab</t>
  </si>
  <si>
    <t xml:space="preserve">What it shows</t>
  </si>
  <si>
    <t xml:space="preserve">Monthly_Data</t>
  </si>
  <si>
    <t xml:space="preserve">Monthly budget, actual (Jan to Sep), and Q4 forecast by line and end market (inputs)</t>
  </si>
  <si>
    <t xml:space="preserve">BvA</t>
  </si>
  <si>
    <t xml:space="preserve">September and year-to-date budget vs. actual with favorable / unfavorable flags</t>
  </si>
  <si>
    <t xml:space="preserve">Margin_Bridge</t>
  </si>
  <si>
    <t xml:space="preserve">YTD gross profit split into volume and margin-rate variance by end market, plus an EBITDA bridge</t>
  </si>
  <si>
    <t xml:space="preserve">FY_Forecast</t>
  </si>
  <si>
    <t xml:space="preserve">Full-year forecast (9 months actual + Q4 forecast) against the FY2026 budget</t>
  </si>
  <si>
    <t xml:space="preserve">Bank_Rec</t>
  </si>
  <si>
    <t xml:space="preserve">September 30 bank reconciliation with proposed adjusting entries</t>
  </si>
  <si>
    <t xml:space="preserve">GL_Cash / Bank_Stmt</t>
  </si>
  <si>
    <t xml:space="preserve">Transaction detail with automatic matching on reference and amount</t>
  </si>
  <si>
    <t xml:space="preserve">KPI_Trend</t>
  </si>
  <si>
    <t xml:space="preserve">Monthly KPIs: revenue vs. budget, margins, DSO / DIO / DPO, backlog, cash, revolver, liquidity</t>
  </si>
  <si>
    <t xml:space="preserve">Color legend</t>
  </si>
  <si>
    <t xml:space="preserve">Blue text</t>
  </si>
  <si>
    <t xml:space="preserve">Input or assumption</t>
  </si>
  <si>
    <t xml:space="preserve">Black text</t>
  </si>
  <si>
    <t xml:space="preserve">Formula on the same sheet</t>
  </si>
  <si>
    <t xml:space="preserve">Green text</t>
  </si>
  <si>
    <t xml:space="preserve">Formula linking to another sheet</t>
  </si>
  <si>
    <t xml:space="preserve">Yellow fill</t>
  </si>
  <si>
    <t xml:space="preserve">Key output or check</t>
  </si>
  <si>
    <t xml:space="preserve">Monthly Data (Inputs)</t>
  </si>
  <si>
    <t xml:space="preserve">Budget approved December 2025. Actuals from the GL. Q4 is the September forecast.</t>
  </si>
  <si>
    <t xml:space="preserve">Line</t>
  </si>
  <si>
    <t xml:space="preserve">Type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</si>
  <si>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</si>
  <si>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</si>
  <si>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</si>
  <si>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</si>
  <si>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</si>
  <si>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</si>
  <si>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</si>
  <si>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</si>
  <si>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</si>
  <si>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</si>
  <si>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</si>
  <si>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</si>
  <si>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Total</t>
  </si>
  <si>
    <t xml:space="preserve">Budget</t>
  </si>
  <si>
    <t xml:space="preserve">Revenue: Commercial construction</t>
  </si>
  <si>
    <t xml:space="preserve">Revenue</t>
  </si>
  <si>
    <t xml:space="preserve">Revenue: Midstream energy</t>
  </si>
  <si>
    <t xml:space="preserve">Revenue: Industrial OEM</t>
  </si>
  <si>
    <t xml:space="preserve">COGS: Commercial construction</t>
  </si>
  <si>
    <t xml:space="preserve">Cost</t>
  </si>
  <si>
    <t xml:space="preserve">COGS: Midstream energy</t>
  </si>
  <si>
    <t xml:space="preserve">COGS: Industrial OEM</t>
  </si>
  <si>
    <t xml:space="preserve">Officer compensation</t>
  </si>
  <si>
    <t xml:space="preserve">Other SG&amp;A</t>
  </si>
  <si>
    <t xml:space="preserve">Depreciation &amp; amortization</t>
  </si>
  <si>
    <t xml:space="preserve">Interest expense</t>
  </si>
  <si>
    <t xml:space="preserve">Actual (Jan to Sep) + Forecast (Oct to Dec, shaded)</t>
  </si>
  <si>
    <t xml:space="preserve">Month-end balances (actual)</t>
  </si>
  <si>
    <t xml:space="preserve">Accounts receivable</t>
  </si>
  <si>
    <t xml:space="preserve">Inventory</t>
  </si>
  <si>
    <t xml:space="preserve">Accounts payable</t>
  </si>
  <si>
    <t xml:space="preserve">Backlog</t>
  </si>
  <si>
    <t xml:space="preserve">Cash (adjusted book)</t>
  </si>
  <si>
    <t xml:space="preserve">Revolver balance</t>
  </si>
  <si>
    <t xml:space="preserve">Term loan balance</t>
  </si>
  <si>
    <t xml:space="preserve">Revolver commitment</t>
  </si>
  <si>
    <t xml:space="preserve">Budget vs. Actual: September 2026</t>
  </si>
  <si>
    <t xml:space="preserve">Favorable = revenue or profit above budget, or cost below budget</t>
  </si>
  <si>
    <t xml:space="preserve">September</t>
  </si>
  <si>
    <t xml:space="preserve">Year to date</t>
  </si>
  <si>
    <t xml:space="preserve">Actual</t>
  </si>
  <si>
    <t xml:space="preserve">Variance $</t>
  </si>
  <si>
    <t xml:space="preserve">Var %</t>
  </si>
  <si>
    <t xml:space="preserve">F/U</t>
  </si>
  <si>
    <t xml:space="preserve">Commercial construction</t>
  </si>
  <si>
    <t xml:space="preserve">Midstream energy</t>
  </si>
  <si>
    <t xml:space="preserve">Industrial OEM</t>
  </si>
  <si>
    <t xml:space="preserve">Total revenue</t>
  </si>
  <si>
    <t xml:space="preserve">Total cost of goods sold</t>
  </si>
  <si>
    <t xml:space="preserve">Gross profit</t>
  </si>
  <si>
    <t xml:space="preserve">Gross margin %</t>
  </si>
  <si>
    <t xml:space="preserve">EBITDA</t>
  </si>
  <si>
    <t xml:space="preserve">EBITDA margin %</t>
  </si>
  <si>
    <t xml:space="preserve">Net income</t>
  </si>
  <si>
    <t xml:space="preserve">Commentary (YTD)</t>
  </si>
  <si>
    <t xml:space="preserve">Revenue is 3.2% below budget. Commercial construction is the shortfall (-13.8%) as higher rates and steel prices delayed two warehouse projects; midstream energy is ahead of budget (+7.8%) on pipe support and skid work.</t>
  </si>
  <si>
    <t xml:space="preserve">Gross margin is 30 bps below budget. Construction margin fell to 23.7% on fixed-price jobs bid before steel prices rose; energy margin beat budget.</t>
  </si>
  <si>
    <t xml:space="preserve">Other SG&amp;A is slightly under budget from hiring timing. EBITDA is below budget, driven almost entirely by construction volume and margin.</t>
  </si>
  <si>
    <t xml:space="preserve">YTD Gross Profit and EBITDA Bridge</t>
  </si>
  <si>
    <t xml:space="preserve">Volume variance = revenue variance x budget margin. Rate variance = margin variance x actual revenue.</t>
  </si>
  <si>
    <t xml:space="preserve">End market</t>
  </si>
  <si>
    <t xml:space="preserve">Budget revenue</t>
  </si>
  <si>
    <t xml:space="preserve">Actual revenue</t>
  </si>
  <si>
    <t xml:space="preserve">Budget GM %</t>
  </si>
  <si>
    <t xml:space="preserve">Actual GM %</t>
  </si>
  <si>
    <t xml:space="preserve">Budget GP</t>
  </si>
  <si>
    <t xml:space="preserve">Actual GP</t>
  </si>
  <si>
    <t xml:space="preserve">Volume variance</t>
  </si>
  <si>
    <t xml:space="preserve">Rate variance</t>
  </si>
  <si>
    <t xml:space="preserve">Check: volume + rate = GP variance (must be zero)</t>
  </si>
  <si>
    <t xml:space="preserve">EBITDA bridge (YTD)</t>
  </si>
  <si>
    <t xml:space="preserve">Amount</t>
  </si>
  <si>
    <t xml:space="preserve">Budget EBITDA</t>
  </si>
  <si>
    <t xml:space="preserve">Revenue volume</t>
  </si>
  <si>
    <t xml:space="preserve">Gross margin rate</t>
  </si>
  <si>
    <t xml:space="preserve">Actual EBITDA</t>
  </si>
  <si>
    <t xml:space="preserve">Check vs BvA (must be zero)</t>
  </si>
  <si>
    <t xml:space="preserve">Construction volume is the largest single driver; energy volume partly offsets it. Margin rate is negative overall because construction's rate loss outweighs energy's gain.</t>
  </si>
  <si>
    <t xml:space="preserve">Full-Year Forecast vs. Budget</t>
  </si>
  <si>
    <t xml:space="preserve">Forecast = January to September actual + October to December forecast</t>
  </si>
  <si>
    <t xml:space="preserve">FY budget</t>
  </si>
  <si>
    <t xml:space="preserve">YTD actual</t>
  </si>
  <si>
    <t xml:space="preserve">Q4 forecast</t>
  </si>
  <si>
    <t xml:space="preserve">FY forecast</t>
  </si>
  <si>
    <t xml:space="preserve">Cost of goods sold</t>
  </si>
  <si>
    <t xml:space="preserve">FY forecast revenue growth vs FY2025 ($17.6MM)</t>
  </si>
  <si>
    <t xml:space="preserve">Q4 forecast assumes steel stays near a four-year high, so Q4 gross margin is held at about 26.4%. These figures feed FY2026E in Three_Statement_Model.xlsx.</t>
  </si>
  <si>
    <t xml:space="preserve">General Ledger: Operating Cash, September 2026</t>
  </si>
  <si>
    <t xml:space="preserve">Match = same reference and amount found on the other side. Unmatched items need a reconciling item type.</t>
  </si>
  <si>
    <t xml:space="preserve">Date</t>
  </si>
  <si>
    <t xml:space="preserve">Reference</t>
  </si>
  <si>
    <t xml:space="preserve">Description</t>
  </si>
  <si>
    <t xml:space="preserve">Match</t>
  </si>
  <si>
    <t xml:space="preserve">Reconciling item type</t>
  </si>
  <si>
    <t xml:space="preserve">ACH-RENT</t>
  </si>
  <si>
    <t xml:space="preserve">Rent: Bayou Industrial Properties</t>
  </si>
  <si>
    <t xml:space="preserve">ACH-RLINT</t>
  </si>
  <si>
    <t xml:space="preserve">Revolver interest, August</t>
  </si>
  <si>
    <t xml:space="preserve">DEP-010</t>
  </si>
  <si>
    <t xml:space="preserve">Customer payment: Gulf Ridge Builders</t>
  </si>
  <si>
    <t xml:space="preserve">DEP-021</t>
  </si>
  <si>
    <t xml:space="preserve">Customer payment: Ironclad Midstream</t>
  </si>
  <si>
    <t xml:space="preserve">CHK-10450</t>
  </si>
  <si>
    <t xml:space="preserve">Check 10450: Airgas</t>
  </si>
  <si>
    <t xml:space="preserve">DEP-032</t>
  </si>
  <si>
    <t xml:space="preserve">Customer payment: Sabine Process Systems</t>
  </si>
  <si>
    <t xml:space="preserve">ACH-NUC1</t>
  </si>
  <si>
    <t xml:space="preserve">Steel purchase: Gulf States Steel</t>
  </si>
  <si>
    <t xml:space="preserve">CHK-10451</t>
  </si>
  <si>
    <t xml:space="preserve">Check 10451: Grainger</t>
  </si>
  <si>
    <t xml:space="preserve">DEP-040</t>
  </si>
  <si>
    <t xml:space="preserve">Customer payment: Westfield Contractors</t>
  </si>
  <si>
    <t xml:space="preserve">CHK-10452</t>
  </si>
  <si>
    <t xml:space="preserve">Check 10452: Fastenal</t>
  </si>
  <si>
    <t xml:space="preserve">CHK-10453</t>
  </si>
  <si>
    <t xml:space="preserve">Check 10453: Lincoln Electric</t>
  </si>
  <si>
    <t xml:space="preserve">CHK-10454</t>
  </si>
  <si>
    <t xml:space="preserve">Check 10454: Hilti</t>
  </si>
  <si>
    <t xml:space="preserve">CHK-10455</t>
  </si>
  <si>
    <t xml:space="preserve">Check 10455: Precision Galvanizing</t>
  </si>
  <si>
    <t xml:space="preserve">DEP-081</t>
  </si>
  <si>
    <t xml:space="preserve">Customer payment: Pinnacle Pipeline Services</t>
  </si>
  <si>
    <t xml:space="preserve">CHK-10456</t>
  </si>
  <si>
    <t xml:space="preserve">Check 10456: Coastal Powder Coat</t>
  </si>
  <si>
    <t xml:space="preserve">DEP-092</t>
  </si>
  <si>
    <t xml:space="preserve">Customer payment: Coastal Mechanical</t>
  </si>
  <si>
    <t xml:space="preserve">ACH-UTIL</t>
  </si>
  <si>
    <t xml:space="preserve">Electric: CenterPoint / retail provider</t>
  </si>
  <si>
    <t xml:space="preserve">CHK-10457</t>
  </si>
  <si>
    <t xml:space="preserve">Check 10457: Western Hydraulics (recorded as $4,850.00)</t>
  </si>
  <si>
    <t xml:space="preserve">Book error</t>
  </si>
  <si>
    <t xml:space="preserve">DEP-100</t>
  </si>
  <si>
    <t xml:space="preserve">Customer payment: Lonestar OEM Components</t>
  </si>
  <si>
    <t xml:space="preserve">CHK-10458</t>
  </si>
  <si>
    <t xml:space="preserve">Check 10458: Sunbelt Rentals</t>
  </si>
  <si>
    <t xml:space="preserve">DEP-111</t>
  </si>
  <si>
    <t xml:space="preserve">Customer payment: Tri-County Erectors</t>
  </si>
  <si>
    <t xml:space="preserve">PAY-0911</t>
  </si>
  <si>
    <t xml:space="preserve">Payroll funding (Paychex)</t>
  </si>
  <si>
    <t xml:space="preserve">CHK-10459</t>
  </si>
  <si>
    <t xml:space="preserve">Check 10459: Machine Tool Services</t>
  </si>
  <si>
    <t xml:space="preserve">CHK-10460</t>
  </si>
  <si>
    <t xml:space="preserve">Check 10460: Texas Laser Cutting Co.</t>
  </si>
  <si>
    <t xml:space="preserve">ACH-NUC2</t>
  </si>
  <si>
    <t xml:space="preserve">CHK-10461</t>
  </si>
  <si>
    <t xml:space="preserve">Check 10461: Uline</t>
  </si>
  <si>
    <t xml:space="preserve">DEP-142</t>
  </si>
  <si>
    <t xml:space="preserve">Customer payment: Harbor Industrial Supply</t>
  </si>
  <si>
    <t xml:space="preserve">ACH-TERM</t>
  </si>
  <si>
    <t xml:space="preserve">Term loan payment</t>
  </si>
  <si>
    <t xml:space="preserve">CHK-10462</t>
  </si>
  <si>
    <t xml:space="preserve">Check 10462: Industrial Paint Supply</t>
  </si>
  <si>
    <t xml:space="preserve">DEP-150</t>
  </si>
  <si>
    <t xml:space="preserve">Customer payment: Redline Compression</t>
  </si>
  <si>
    <t xml:space="preserve">CHK-10463</t>
  </si>
  <si>
    <t xml:space="preserve">Check 10463: Safety-Kleen</t>
  </si>
  <si>
    <t xml:space="preserve">DEP-161</t>
  </si>
  <si>
    <t xml:space="preserve">DEP-172</t>
  </si>
  <si>
    <t xml:space="preserve">ACH-INS</t>
  </si>
  <si>
    <t xml:space="preserve">Insurance installment</t>
  </si>
  <si>
    <t xml:space="preserve">DEP-180</t>
  </si>
  <si>
    <t xml:space="preserve">ACH-FUEL</t>
  </si>
  <si>
    <t xml:space="preserve">Fuel cards</t>
  </si>
  <si>
    <t xml:space="preserve">DEP-211</t>
  </si>
  <si>
    <t xml:space="preserve">ADV-0922</t>
  </si>
  <si>
    <t xml:space="preserve">Revolver advance</t>
  </si>
  <si>
    <t xml:space="preserve">DEP-222</t>
  </si>
  <si>
    <t xml:space="preserve">DEP-230</t>
  </si>
  <si>
    <t xml:space="preserve">DEP-241</t>
  </si>
  <si>
    <t xml:space="preserve">DEP-252</t>
  </si>
  <si>
    <t xml:space="preserve">PAY-0925</t>
  </si>
  <si>
    <t xml:space="preserve">CHK-10464</t>
  </si>
  <si>
    <t xml:space="preserve">Check 10464: Texas Laser Cutting Co.</t>
  </si>
  <si>
    <t xml:space="preserve">Outstanding check</t>
  </si>
  <si>
    <t xml:space="preserve">ACH-NUC3</t>
  </si>
  <si>
    <t xml:space="preserve">CHK-10465</t>
  </si>
  <si>
    <t xml:space="preserve">Check 10465: Fastenal</t>
  </si>
  <si>
    <t xml:space="preserve">DEP-280</t>
  </si>
  <si>
    <t xml:space="preserve">CHK-10466</t>
  </si>
  <si>
    <t xml:space="preserve">Check 10466: Precision Galvanizing</t>
  </si>
  <si>
    <t xml:space="preserve">CHK-10467</t>
  </si>
  <si>
    <t xml:space="preserve">Check 10467: Airgas</t>
  </si>
  <si>
    <t xml:space="preserve">DEP-291</t>
  </si>
  <si>
    <t xml:space="preserve">CHK-10468</t>
  </si>
  <si>
    <t xml:space="preserve">Check 10468: Coastal Powder Coat</t>
  </si>
  <si>
    <t xml:space="preserve">DEP-0930</t>
  </si>
  <si>
    <t xml:space="preserve">Customer payment: Ironclad Midstream (deposited 9/30 after cutoff)</t>
  </si>
  <si>
    <t xml:space="preserve">Deposit in transit</t>
  </si>
  <si>
    <t xml:space="preserve">Total activity</t>
  </si>
  <si>
    <t xml:space="preserve">Unmatched items without a type (must be zero)</t>
  </si>
  <si>
    <t xml:space="preserve">Bank Statement: Prairie Lantern Bank Operating Account, September 2026</t>
  </si>
  <si>
    <t xml:space="preserve">Check 10457: Western Hydraulics</t>
  </si>
  <si>
    <t xml:space="preserve">RTN-0917</t>
  </si>
  <si>
    <t xml:space="preserve">Returned item: Gulf Ridge Builders check (NSF)</t>
  </si>
  <si>
    <t xml:space="preserve">NSF check</t>
  </si>
  <si>
    <t xml:space="preserve">FEE-0930</t>
  </si>
  <si>
    <t xml:space="preserve">Account analysis service charge</t>
  </si>
  <si>
    <t xml:space="preserve">Bank fee</t>
  </si>
  <si>
    <t xml:space="preserve">INT-0930</t>
  </si>
  <si>
    <t xml:space="preserve">Interest credit</t>
  </si>
  <si>
    <t xml:space="preserve">Interest income</t>
  </si>
  <si>
    <t xml:space="preserve">Bank Reconciliation: September 30, 2026</t>
  </si>
  <si>
    <t xml:space="preserve">Operating account at Prairie Lantern Bank. Prepared by M. Dial, reviewed by Controller.</t>
  </si>
  <si>
    <t xml:space="preserve">Beginning balance, August 31 (bank and book agreed)</t>
  </si>
  <si>
    <t xml:space="preserve">Bank side</t>
  </si>
  <si>
    <t xml:space="preserve">Notes</t>
  </si>
  <si>
    <t xml:space="preserve">Balance per bank statement, 9/30</t>
  </si>
  <si>
    <t xml:space="preserve">Add: deposits in transit</t>
  </si>
  <si>
    <t xml:space="preserve">9/30 deposit made after bank cutoff; cleared 10/1</t>
  </si>
  <si>
    <t xml:space="preserve">Less: outstanding checks</t>
  </si>
  <si>
    <t xml:space="preserve">Checks 10464 to 10468</t>
  </si>
  <si>
    <t xml:space="preserve">Adjusted bank balance</t>
  </si>
  <si>
    <t xml:space="preserve">Book side</t>
  </si>
  <si>
    <t xml:space="preserve">Balance per general ledger, 9/30</t>
  </si>
  <si>
    <t xml:space="preserve">Add: interest earned not recorded</t>
  </si>
  <si>
    <t xml:space="preserve">Less: bank service charges</t>
  </si>
  <si>
    <t xml:space="preserve">Less: NSF customer check returned</t>
  </si>
  <si>
    <t xml:space="preserve">Gulf Ridge Builders; re-billed and placed on credit hold</t>
  </si>
  <si>
    <t xml:space="preserve">Add: correction of check 10457 recorded in error</t>
  </si>
  <si>
    <t xml:space="preserve">Recorded $4,850.00; cleared bank at $4,580.00 (transposition)</t>
  </si>
  <si>
    <t xml:space="preserve">Adjusted book balance</t>
  </si>
  <si>
    <t xml:space="preserve">Reconciled cash balance</t>
  </si>
  <si>
    <t xml:space="preserve">Difference (must be zero)</t>
  </si>
  <si>
    <t xml:space="preserve">Proposed adjusting journal entries</t>
  </si>
  <si>
    <t xml:space="preserve">Debit</t>
  </si>
  <si>
    <t xml:space="preserve">Credit</t>
  </si>
  <si>
    <t xml:space="preserve">JE 1: Dr Cash / Cr Interest income</t>
  </si>
  <si>
    <t xml:space="preserve">JE 2: Dr Bank fees expense / Cr Cash</t>
  </si>
  <si>
    <t xml:space="preserve">JE 3: Dr Accounts receivable (Gulf Ridge) / Cr Cash</t>
  </si>
  <si>
    <t xml:space="preserve">JE 4: Dr Cash / Cr Accounts payable (Western Hydraulics)</t>
  </si>
  <si>
    <t xml:space="preserve">Net change to book cash from entries</t>
  </si>
  <si>
    <t xml:space="preserve">KPI Trend: January to September 2026</t>
  </si>
  <si>
    <t xml:space="preserve">DSO and DIO use trailing three months annualized (months 1 and 2 use available months)</t>
  </si>
  <si>
    <t xml:space="preserve">KPI</t>
  </si>
  <si>
    <t xml:space="preserve">How to read it</t>
  </si>
  <si>
    <t xml:space="preserve">Revenue (actual)</t>
  </si>
  <si>
    <t xml:space="preserve">Revenue (budget)</t>
  </si>
  <si>
    <t xml:space="preserve">Revenue vs budget</t>
  </si>
  <si>
    <t xml:space="preserve">Construction weakness since spring</t>
  </si>
  <si>
    <t xml:space="preserve">DSO (days)</t>
  </si>
  <si>
    <t xml:space="preserve">Drifting up since summer as construction GCs pay slower</t>
  </si>
  <si>
    <t xml:space="preserve">DIO (days)</t>
  </si>
  <si>
    <t xml:space="preserve">DPO (days)</t>
  </si>
  <si>
    <t xml:space="preserve">Cash conversion cycle (days)</t>
  </si>
  <si>
    <t xml:space="preserve">Highest of the year; energy-led</t>
  </si>
  <si>
    <t xml:space="preserve">Backlog / trailing 3-month revenue (months)</t>
  </si>
  <si>
    <t xml:space="preserve">Cash</t>
  </si>
  <si>
    <t xml:space="preserve">September = reconciled balance</t>
  </si>
  <si>
    <t xml:space="preserve">Revolver availability</t>
  </si>
  <si>
    <t xml:space="preserve">Commitment $1.0MM until increase closes</t>
  </si>
  <si>
    <t xml:space="preserve">Total liquidity</t>
  </si>
  <si>
    <t xml:space="preserve">Helper: total COGS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</si>
</sst>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mm/dd/yyyy"/>
    <numFmt numFmtId="168" formatCode="\$#,##0.00;&quot;($&quot;#,##0.00\);\-"/>
    <numFmt numFmtId="169" formatCode="0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D9E2F3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90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6" customFormat="false" ht="30" hidden="false" customHeight="true" outlineLevel="0" collapsed="false">
      <c r="B6" s="5" t="s">
        <v>3</v>
      </c>
      <c r="C6" s="5"/>
    </row>
    <row r="8" customFormat="false" ht="15" hidden="false" customHeight="false" outlineLevel="0" collapsed="false">
      <c r="B8" s="6" t="s">
        <v>4</v>
      </c>
      <c r="C8" s="7" t="s">
        <v>5</v>
      </c>
    </row>
    <row r="9" customFormat="false" ht="15" hidden="false" customHeight="false" outlineLevel="0" collapsed="false">
      <c r="B9" s="8" t="s">
        <v>6</v>
      </c>
      <c r="C9" s="9" t="s">
        <v>7</v>
      </c>
    </row>
    <row r="10" customFormat="false" ht="15" hidden="false" customHeight="false" outlineLevel="0" collapsed="false">
      <c r="B10" s="8" t="s">
        <v>8</v>
      </c>
      <c r="C10" s="9" t="s">
        <v>9</v>
      </c>
    </row>
    <row r="11" customFormat="false" ht="15" hidden="false" customHeight="false" outlineLevel="0" collapsed="false">
      <c r="B11" s="8" t="s">
        <v>10</v>
      </c>
      <c r="C11" s="9" t="s">
        <v>11</v>
      </c>
    </row>
    <row r="12" customFormat="false" ht="15" hidden="false" customHeight="false" outlineLevel="0" collapsed="false">
      <c r="B12" s="8" t="s">
        <v>12</v>
      </c>
      <c r="C12" s="9" t="s">
        <v>13</v>
      </c>
    </row>
    <row r="13" customFormat="false" ht="15" hidden="false" customHeight="false" outlineLevel="0" collapsed="false">
      <c r="B13" s="8" t="s">
        <v>14</v>
      </c>
      <c r="C13" s="9" t="s">
        <v>15</v>
      </c>
    </row>
    <row r="14" customFormat="false" ht="15" hidden="false" customHeight="false" outlineLevel="0" collapsed="false">
      <c r="B14" s="8" t="s">
        <v>16</v>
      </c>
      <c r="C14" s="9" t="s">
        <v>17</v>
      </c>
    </row>
    <row r="15" customFormat="false" ht="15" hidden="false" customHeight="false" outlineLevel="0" collapsed="false">
      <c r="B15" s="8" t="s">
        <v>18</v>
      </c>
      <c r="C15" s="9" t="s">
        <v>19</v>
      </c>
    </row>
    <row r="17" customFormat="false" ht="15" hidden="false" customHeight="false" outlineLevel="0" collapsed="false">
      <c r="B17" s="6" t="s">
        <v>20</v>
      </c>
      <c r="C17" s="7"/>
    </row>
    <row r="18" customFormat="false" ht="15" hidden="false" customHeight="false" outlineLevel="0" collapsed="false">
      <c r="B18" s="10" t="s">
        <v>21</v>
      </c>
      <c r="C18" s="9" t="s">
        <v>22</v>
      </c>
    </row>
    <row r="19" customFormat="false" ht="15" hidden="false" customHeight="false" outlineLevel="0" collapsed="false">
      <c r="B19" s="9" t="s">
        <v>23</v>
      </c>
      <c r="C19" s="9" t="s">
        <v>24</v>
      </c>
    </row>
    <row r="20" customFormat="false" ht="15" hidden="false" customHeight="false" outlineLevel="0" collapsed="false">
      <c r="B20" s="11" t="s">
        <v>25</v>
      </c>
      <c r="C20" s="9" t="s">
        <v>26</v>
      </c>
    </row>
    <row r="21" customFormat="false" ht="15" hidden="false" customHeight="false" outlineLevel="0" collapsed="false">
      <c r="B21" s="12" t="s">
        <v>27</v>
      </c>
      <c r="C21" s="9" t="s">
        <v>28</v>
      </c>
    </row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"/>
    <col collapsed="false" customWidth="true" hidden="false" outlineLevel="0" max="14" min="3" style="1" width="11"/>
    <col collapsed="false" customWidth="true" hidden="false" outlineLevel="0" max="15" min="15" style="1" width="13"/>
  </cols>
  <sheetData>
    <row r="1" customFormat="false" ht="17.35" hidden="false" customHeight="false" outlineLevel="0" collapsed="false">
      <c r="A1" s="13" t="s">
        <v>29</v>
      </c>
    </row>
    <row r="2" customFormat="false" ht="15" hidden="false" customHeight="false" outlineLevel="0" collapsed="false">
      <c r="A2" s="4" t="s">
        <v>30</v>
      </c>
    </row>
    <row r="4" customFormat="false" ht="15" hidden="false" customHeight="false" outlineLevel="0" collapsed="false">
      <c r="A4" s="6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45</v>
      </c>
    </row>
    <row r="5" customFormat="false" ht="15" hidden="false" customHeight="false" outlineLevel="0" collapsed="false">
      <c r="A5" s="14" t="s">
        <v>46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customFormat="false" ht="15" hidden="false" customHeight="false" outlineLevel="0" collapsed="false">
      <c r="A6" s="16" t="s">
        <v>47</v>
      </c>
      <c r="B6" s="17" t="s">
        <v>48</v>
      </c>
      <c r="C6" s="18" t="n">
        <v>562000</v>
      </c>
      <c r="D6" s="18" t="n">
        <v>585000</v>
      </c>
      <c r="E6" s="18" t="n">
        <v>646000</v>
      </c>
      <c r="F6" s="18" t="n">
        <v>631000</v>
      </c>
      <c r="G6" s="18" t="n">
        <v>661000</v>
      </c>
      <c r="H6" s="18" t="n">
        <v>654000</v>
      </c>
      <c r="I6" s="18" t="n">
        <v>616000</v>
      </c>
      <c r="J6" s="18" t="n">
        <v>654000</v>
      </c>
      <c r="K6" s="18" t="n">
        <v>638000</v>
      </c>
      <c r="L6" s="18" t="n">
        <v>661000</v>
      </c>
      <c r="M6" s="18" t="n">
        <v>608000</v>
      </c>
      <c r="N6" s="18" t="n">
        <v>683000</v>
      </c>
      <c r="O6" s="19" t="n">
        <f aca="false">SUM(C6:N6)</f>
        <v>7599000</v>
      </c>
    </row>
    <row r="7" customFormat="false" ht="15" hidden="false" customHeight="false" outlineLevel="0" collapsed="false">
      <c r="A7" s="16" t="s">
        <v>49</v>
      </c>
      <c r="B7" s="17" t="s">
        <v>48</v>
      </c>
      <c r="C7" s="18" t="n">
        <v>492000</v>
      </c>
      <c r="D7" s="18" t="n">
        <v>512000</v>
      </c>
      <c r="E7" s="18" t="n">
        <v>565000</v>
      </c>
      <c r="F7" s="18" t="n">
        <v>552000</v>
      </c>
      <c r="G7" s="18" t="n">
        <v>579000</v>
      </c>
      <c r="H7" s="18" t="n">
        <v>572000</v>
      </c>
      <c r="I7" s="18" t="n">
        <v>539000</v>
      </c>
      <c r="J7" s="18" t="n">
        <v>572000</v>
      </c>
      <c r="K7" s="18" t="n">
        <v>559000</v>
      </c>
      <c r="L7" s="18" t="n">
        <v>579000</v>
      </c>
      <c r="M7" s="18" t="n">
        <v>532000</v>
      </c>
      <c r="N7" s="18" t="n">
        <v>598000</v>
      </c>
      <c r="O7" s="19" t="n">
        <f aca="false">SUM(C7:N7)</f>
        <v>6651000</v>
      </c>
    </row>
    <row r="8" customFormat="false" ht="15" hidden="false" customHeight="false" outlineLevel="0" collapsed="false">
      <c r="A8" s="16" t="s">
        <v>50</v>
      </c>
      <c r="B8" s="17" t="s">
        <v>48</v>
      </c>
      <c r="C8" s="18" t="n">
        <v>352000</v>
      </c>
      <c r="D8" s="18" t="n">
        <v>366000</v>
      </c>
      <c r="E8" s="18" t="n">
        <v>404000</v>
      </c>
      <c r="F8" s="18" t="n">
        <v>394000</v>
      </c>
      <c r="G8" s="18" t="n">
        <v>413000</v>
      </c>
      <c r="H8" s="18" t="n">
        <v>408000</v>
      </c>
      <c r="I8" s="18" t="n">
        <v>385000</v>
      </c>
      <c r="J8" s="18" t="n">
        <v>408000</v>
      </c>
      <c r="K8" s="18" t="n">
        <v>399000</v>
      </c>
      <c r="L8" s="18" t="n">
        <v>413000</v>
      </c>
      <c r="M8" s="18" t="n">
        <v>380000</v>
      </c>
      <c r="N8" s="18" t="n">
        <v>428000</v>
      </c>
      <c r="O8" s="19" t="n">
        <f aca="false">SUM(C8:N8)</f>
        <v>4750000</v>
      </c>
    </row>
    <row r="9" customFormat="false" ht="15" hidden="false" customHeight="false" outlineLevel="0" collapsed="false">
      <c r="A9" s="16" t="s">
        <v>51</v>
      </c>
      <c r="B9" s="17" t="s">
        <v>52</v>
      </c>
      <c r="C9" s="18" t="n">
        <v>419000</v>
      </c>
      <c r="D9" s="18" t="n">
        <v>436000</v>
      </c>
      <c r="E9" s="18" t="n">
        <v>481000</v>
      </c>
      <c r="F9" s="18" t="n">
        <v>470000</v>
      </c>
      <c r="G9" s="18" t="n">
        <v>492000</v>
      </c>
      <c r="H9" s="18" t="n">
        <v>487000</v>
      </c>
      <c r="I9" s="18" t="n">
        <v>459000</v>
      </c>
      <c r="J9" s="18" t="n">
        <v>487000</v>
      </c>
      <c r="K9" s="18" t="n">
        <v>475000</v>
      </c>
      <c r="L9" s="18" t="n">
        <v>492000</v>
      </c>
      <c r="M9" s="18" t="n">
        <v>453000</v>
      </c>
      <c r="N9" s="18" t="n">
        <v>509000</v>
      </c>
      <c r="O9" s="19" t="n">
        <f aca="false">SUM(C9:N9)</f>
        <v>5660000</v>
      </c>
    </row>
    <row r="10" customFormat="false" ht="15" hidden="false" customHeight="false" outlineLevel="0" collapsed="false">
      <c r="A10" s="16" t="s">
        <v>53</v>
      </c>
      <c r="B10" s="17" t="s">
        <v>52</v>
      </c>
      <c r="C10" s="18" t="n">
        <v>344000</v>
      </c>
      <c r="D10" s="18" t="n">
        <v>358000</v>
      </c>
      <c r="E10" s="18" t="n">
        <v>396000</v>
      </c>
      <c r="F10" s="18" t="n">
        <v>386000</v>
      </c>
      <c r="G10" s="18" t="n">
        <v>405000</v>
      </c>
      <c r="H10" s="18" t="n">
        <v>400000</v>
      </c>
      <c r="I10" s="18" t="n">
        <v>377000</v>
      </c>
      <c r="J10" s="18" t="n">
        <v>400000</v>
      </c>
      <c r="K10" s="18" t="n">
        <v>391000</v>
      </c>
      <c r="L10" s="18" t="n">
        <v>405000</v>
      </c>
      <c r="M10" s="18" t="n">
        <v>372000</v>
      </c>
      <c r="N10" s="18" t="n">
        <v>419000</v>
      </c>
      <c r="O10" s="19" t="n">
        <f aca="false">SUM(C10:N10)</f>
        <v>4653000</v>
      </c>
    </row>
    <row r="11" customFormat="false" ht="15" hidden="false" customHeight="false" outlineLevel="0" collapsed="false">
      <c r="A11" s="16" t="s">
        <v>54</v>
      </c>
      <c r="B11" s="17" t="s">
        <v>52</v>
      </c>
      <c r="C11" s="18" t="n">
        <v>256000</v>
      </c>
      <c r="D11" s="18" t="n">
        <v>266000</v>
      </c>
      <c r="E11" s="18" t="n">
        <v>294000</v>
      </c>
      <c r="F11" s="18" t="n">
        <v>287000</v>
      </c>
      <c r="G11" s="18" t="n">
        <v>301000</v>
      </c>
      <c r="H11" s="18" t="n">
        <v>297000</v>
      </c>
      <c r="I11" s="18" t="n">
        <v>280000</v>
      </c>
      <c r="J11" s="18" t="n">
        <v>297000</v>
      </c>
      <c r="K11" s="18" t="n">
        <v>290000</v>
      </c>
      <c r="L11" s="18" t="n">
        <v>301000</v>
      </c>
      <c r="M11" s="18" t="n">
        <v>277000</v>
      </c>
      <c r="N11" s="18" t="n">
        <v>312000</v>
      </c>
      <c r="O11" s="19" t="n">
        <f aca="false">SUM(C11:N11)</f>
        <v>3458000</v>
      </c>
    </row>
    <row r="12" customFormat="false" ht="15" hidden="false" customHeight="false" outlineLevel="0" collapsed="false">
      <c r="A12" s="16" t="s">
        <v>55</v>
      </c>
      <c r="B12" s="17" t="s">
        <v>52</v>
      </c>
      <c r="C12" s="18" t="n">
        <v>38333</v>
      </c>
      <c r="D12" s="18" t="n">
        <v>38333</v>
      </c>
      <c r="E12" s="18" t="n">
        <v>38333</v>
      </c>
      <c r="F12" s="18" t="n">
        <v>38333</v>
      </c>
      <c r="G12" s="18" t="n">
        <v>38333</v>
      </c>
      <c r="H12" s="18" t="n">
        <v>38333</v>
      </c>
      <c r="I12" s="18" t="n">
        <v>38333</v>
      </c>
      <c r="J12" s="18" t="n">
        <v>38333</v>
      </c>
      <c r="K12" s="18" t="n">
        <v>38333</v>
      </c>
      <c r="L12" s="18" t="n">
        <v>38333</v>
      </c>
      <c r="M12" s="18" t="n">
        <v>38333</v>
      </c>
      <c r="N12" s="18" t="n">
        <v>38337</v>
      </c>
      <c r="O12" s="19" t="n">
        <f aca="false">SUM(C12:N12)</f>
        <v>460000</v>
      </c>
    </row>
    <row r="13" customFormat="false" ht="15" hidden="false" customHeight="false" outlineLevel="0" collapsed="false">
      <c r="A13" s="16" t="s">
        <v>56</v>
      </c>
      <c r="B13" s="17" t="s">
        <v>52</v>
      </c>
      <c r="C13" s="18" t="n">
        <v>179000</v>
      </c>
      <c r="D13" s="18" t="n">
        <v>179000</v>
      </c>
      <c r="E13" s="18" t="n">
        <v>179000</v>
      </c>
      <c r="F13" s="18" t="n">
        <v>179000</v>
      </c>
      <c r="G13" s="18" t="n">
        <v>179000</v>
      </c>
      <c r="H13" s="18" t="n">
        <v>179000</v>
      </c>
      <c r="I13" s="18" t="n">
        <v>179000</v>
      </c>
      <c r="J13" s="18" t="n">
        <v>179000</v>
      </c>
      <c r="K13" s="18" t="n">
        <v>179000</v>
      </c>
      <c r="L13" s="18" t="n">
        <v>179000</v>
      </c>
      <c r="M13" s="18" t="n">
        <v>179000</v>
      </c>
      <c r="N13" s="18" t="n">
        <v>181000</v>
      </c>
      <c r="O13" s="19" t="n">
        <f aca="false">SUM(C13:N13)</f>
        <v>2150000</v>
      </c>
    </row>
    <row r="14" customFormat="false" ht="15" hidden="false" customHeight="false" outlineLevel="0" collapsed="false">
      <c r="A14" s="16" t="s">
        <v>57</v>
      </c>
      <c r="B14" s="17" t="s">
        <v>52</v>
      </c>
      <c r="C14" s="18" t="n">
        <v>60000</v>
      </c>
      <c r="D14" s="18" t="n">
        <v>60000</v>
      </c>
      <c r="E14" s="18" t="n">
        <v>60000</v>
      </c>
      <c r="F14" s="18" t="n">
        <v>60000</v>
      </c>
      <c r="G14" s="18" t="n">
        <v>60000</v>
      </c>
      <c r="H14" s="18" t="n">
        <v>60000</v>
      </c>
      <c r="I14" s="18" t="n">
        <v>60000</v>
      </c>
      <c r="J14" s="18" t="n">
        <v>60000</v>
      </c>
      <c r="K14" s="18" t="n">
        <v>60000</v>
      </c>
      <c r="L14" s="18" t="n">
        <v>60000</v>
      </c>
      <c r="M14" s="18" t="n">
        <v>60000</v>
      </c>
      <c r="N14" s="18" t="n">
        <v>60000</v>
      </c>
      <c r="O14" s="19" t="n">
        <f aca="false">SUM(C14:N14)</f>
        <v>720000</v>
      </c>
    </row>
    <row r="15" customFormat="false" ht="15" hidden="false" customHeight="false" outlineLevel="0" collapsed="false">
      <c r="A15" s="16" t="s">
        <v>58</v>
      </c>
      <c r="B15" s="17" t="s">
        <v>52</v>
      </c>
      <c r="C15" s="18" t="n">
        <v>14500</v>
      </c>
      <c r="D15" s="18" t="n">
        <v>14500</v>
      </c>
      <c r="E15" s="18" t="n">
        <v>14500</v>
      </c>
      <c r="F15" s="18" t="n">
        <v>14500</v>
      </c>
      <c r="G15" s="18" t="n">
        <v>14500</v>
      </c>
      <c r="H15" s="18" t="n">
        <v>14500</v>
      </c>
      <c r="I15" s="18" t="n">
        <v>14500</v>
      </c>
      <c r="J15" s="18" t="n">
        <v>14500</v>
      </c>
      <c r="K15" s="18" t="n">
        <v>14500</v>
      </c>
      <c r="L15" s="18" t="n">
        <v>14500</v>
      </c>
      <c r="M15" s="18" t="n">
        <v>14500</v>
      </c>
      <c r="N15" s="18" t="n">
        <v>14500</v>
      </c>
      <c r="O15" s="19" t="n">
        <f aca="false">SUM(C15:N15)</f>
        <v>174000</v>
      </c>
    </row>
    <row r="17" customFormat="false" ht="15" hidden="false" customHeight="false" outlineLevel="0" collapsed="false">
      <c r="A17" s="14" t="s">
        <v>59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customFormat="false" ht="15" hidden="false" customHeight="false" outlineLevel="0" collapsed="false">
      <c r="A18" s="16" t="s">
        <v>47</v>
      </c>
      <c r="B18" s="17" t="s">
        <v>48</v>
      </c>
      <c r="C18" s="18" t="n">
        <v>485000</v>
      </c>
      <c r="D18" s="18" t="n">
        <v>498000</v>
      </c>
      <c r="E18" s="18" t="n">
        <v>572000</v>
      </c>
      <c r="F18" s="18" t="n">
        <v>533000</v>
      </c>
      <c r="G18" s="18" t="n">
        <v>580000</v>
      </c>
      <c r="H18" s="18" t="n">
        <v>566000</v>
      </c>
      <c r="I18" s="18" t="n">
        <v>520000</v>
      </c>
      <c r="J18" s="18" t="n">
        <v>573000</v>
      </c>
      <c r="K18" s="18" t="n">
        <v>538000</v>
      </c>
      <c r="L18" s="20" t="n">
        <v>577000</v>
      </c>
      <c r="M18" s="20" t="n">
        <v>530000</v>
      </c>
      <c r="N18" s="20" t="n">
        <v>597000</v>
      </c>
      <c r="O18" s="19" t="n">
        <f aca="false">SUM(C18:N18)</f>
        <v>6569000</v>
      </c>
    </row>
    <row r="19" customFormat="false" ht="15" hidden="false" customHeight="false" outlineLevel="0" collapsed="false">
      <c r="A19" s="16" t="s">
        <v>49</v>
      </c>
      <c r="B19" s="17" t="s">
        <v>48</v>
      </c>
      <c r="C19" s="18" t="n">
        <v>531000</v>
      </c>
      <c r="D19" s="18" t="n">
        <v>536000</v>
      </c>
      <c r="E19" s="18" t="n">
        <v>593000</v>
      </c>
      <c r="F19" s="18" t="n">
        <v>595000</v>
      </c>
      <c r="G19" s="18" t="n">
        <v>645000</v>
      </c>
      <c r="H19" s="18" t="n">
        <v>602000</v>
      </c>
      <c r="I19" s="18" t="n">
        <v>572000</v>
      </c>
      <c r="J19" s="18" t="n">
        <v>627000</v>
      </c>
      <c r="K19" s="18" t="n">
        <v>628000</v>
      </c>
      <c r="L19" s="20" t="n">
        <v>632000</v>
      </c>
      <c r="M19" s="20" t="n">
        <v>581000</v>
      </c>
      <c r="N19" s="20" t="n">
        <v>654000</v>
      </c>
      <c r="O19" s="19" t="n">
        <f aca="false">SUM(C19:N19)</f>
        <v>7196000</v>
      </c>
    </row>
    <row r="20" customFormat="false" ht="15" hidden="false" customHeight="false" outlineLevel="0" collapsed="false">
      <c r="A20" s="16" t="s">
        <v>50</v>
      </c>
      <c r="B20" s="17" t="s">
        <v>48</v>
      </c>
      <c r="C20" s="18" t="n">
        <v>351000</v>
      </c>
      <c r="D20" s="18" t="n">
        <v>359000</v>
      </c>
      <c r="E20" s="18" t="n">
        <v>415000</v>
      </c>
      <c r="F20" s="18" t="n">
        <v>376000</v>
      </c>
      <c r="G20" s="18" t="n">
        <v>421000</v>
      </c>
      <c r="H20" s="18" t="n">
        <v>397000</v>
      </c>
      <c r="I20" s="18" t="n">
        <v>370000</v>
      </c>
      <c r="J20" s="18" t="n">
        <v>392000</v>
      </c>
      <c r="K20" s="18" t="n">
        <v>389000</v>
      </c>
      <c r="L20" s="20" t="n">
        <v>411000</v>
      </c>
      <c r="M20" s="20" t="n">
        <v>378000</v>
      </c>
      <c r="N20" s="20" t="n">
        <v>426000</v>
      </c>
      <c r="O20" s="19" t="n">
        <f aca="false">SUM(C20:N20)</f>
        <v>4685000</v>
      </c>
    </row>
    <row r="21" customFormat="false" ht="15" hidden="false" customHeight="false" outlineLevel="0" collapsed="false">
      <c r="A21" s="16" t="s">
        <v>51</v>
      </c>
      <c r="B21" s="17" t="s">
        <v>52</v>
      </c>
      <c r="C21" s="18" t="n">
        <v>368000</v>
      </c>
      <c r="D21" s="18" t="n">
        <v>381000</v>
      </c>
      <c r="E21" s="18" t="n">
        <v>435000</v>
      </c>
      <c r="F21" s="18" t="n">
        <v>405000</v>
      </c>
      <c r="G21" s="18" t="n">
        <v>443000</v>
      </c>
      <c r="H21" s="18" t="n">
        <v>431000</v>
      </c>
      <c r="I21" s="18" t="n">
        <v>399000</v>
      </c>
      <c r="J21" s="18" t="n">
        <v>440000</v>
      </c>
      <c r="K21" s="18" t="n">
        <v>412000</v>
      </c>
      <c r="L21" s="20" t="n">
        <v>425000</v>
      </c>
      <c r="M21" s="20" t="n">
        <v>390000</v>
      </c>
      <c r="N21" s="20" t="n">
        <v>440000</v>
      </c>
      <c r="O21" s="19" t="n">
        <f aca="false">SUM(C21:N21)</f>
        <v>4969000</v>
      </c>
    </row>
    <row r="22" customFormat="false" ht="15" hidden="false" customHeight="false" outlineLevel="0" collapsed="false">
      <c r="A22" s="16" t="s">
        <v>53</v>
      </c>
      <c r="B22" s="17" t="s">
        <v>52</v>
      </c>
      <c r="C22" s="18" t="n">
        <v>367000</v>
      </c>
      <c r="D22" s="18" t="n">
        <v>372000</v>
      </c>
      <c r="E22" s="18" t="n">
        <v>413000</v>
      </c>
      <c r="F22" s="18" t="n">
        <v>412000</v>
      </c>
      <c r="G22" s="18" t="n">
        <v>448000</v>
      </c>
      <c r="H22" s="18" t="n">
        <v>419000</v>
      </c>
      <c r="I22" s="18" t="n">
        <v>395000</v>
      </c>
      <c r="J22" s="18" t="n">
        <v>434000</v>
      </c>
      <c r="K22" s="18" t="n">
        <v>438000</v>
      </c>
      <c r="L22" s="20" t="n">
        <v>465000</v>
      </c>
      <c r="M22" s="20" t="n">
        <v>428000</v>
      </c>
      <c r="N22" s="20" t="n">
        <v>481500</v>
      </c>
      <c r="O22" s="19" t="n">
        <f aca="false">SUM(C22:N22)</f>
        <v>5072500</v>
      </c>
    </row>
    <row r="23" customFormat="false" ht="15" hidden="false" customHeight="false" outlineLevel="0" collapsed="false">
      <c r="A23" s="16" t="s">
        <v>54</v>
      </c>
      <c r="B23" s="17" t="s">
        <v>52</v>
      </c>
      <c r="C23" s="18" t="n">
        <v>256000</v>
      </c>
      <c r="D23" s="18" t="n">
        <v>262000</v>
      </c>
      <c r="E23" s="18" t="n">
        <v>301000</v>
      </c>
      <c r="F23" s="18" t="n">
        <v>274000</v>
      </c>
      <c r="G23" s="18" t="n">
        <v>309000</v>
      </c>
      <c r="H23" s="18" t="n">
        <v>288000</v>
      </c>
      <c r="I23" s="18" t="n">
        <v>272000</v>
      </c>
      <c r="J23" s="18" t="n">
        <v>287000</v>
      </c>
      <c r="K23" s="18" t="n">
        <v>283000</v>
      </c>
      <c r="L23" s="20" t="n">
        <v>303000</v>
      </c>
      <c r="M23" s="20" t="n">
        <v>278000</v>
      </c>
      <c r="N23" s="20" t="n">
        <v>314000</v>
      </c>
      <c r="O23" s="19" t="n">
        <f aca="false">SUM(C23:N23)</f>
        <v>3427000</v>
      </c>
    </row>
    <row r="24" customFormat="false" ht="15" hidden="false" customHeight="false" outlineLevel="0" collapsed="false">
      <c r="A24" s="16" t="s">
        <v>55</v>
      </c>
      <c r="B24" s="17" t="s">
        <v>52</v>
      </c>
      <c r="C24" s="18" t="n">
        <v>38333</v>
      </c>
      <c r="D24" s="18" t="n">
        <v>38333</v>
      </c>
      <c r="E24" s="18" t="n">
        <v>38333</v>
      </c>
      <c r="F24" s="18" t="n">
        <v>38333</v>
      </c>
      <c r="G24" s="18" t="n">
        <v>38333</v>
      </c>
      <c r="H24" s="18" t="n">
        <v>38333</v>
      </c>
      <c r="I24" s="18" t="n">
        <v>38333</v>
      </c>
      <c r="J24" s="18" t="n">
        <v>38333</v>
      </c>
      <c r="K24" s="18" t="n">
        <v>38333</v>
      </c>
      <c r="L24" s="20" t="n">
        <v>38333</v>
      </c>
      <c r="M24" s="20" t="n">
        <v>38333</v>
      </c>
      <c r="N24" s="20" t="n">
        <v>38334</v>
      </c>
      <c r="O24" s="19" t="n">
        <f aca="false">SUM(C24:N24)</f>
        <v>459997</v>
      </c>
    </row>
    <row r="25" customFormat="false" ht="15" hidden="false" customHeight="false" outlineLevel="0" collapsed="false">
      <c r="A25" s="16" t="s">
        <v>56</v>
      </c>
      <c r="B25" s="17" t="s">
        <v>52</v>
      </c>
      <c r="C25" s="18" t="n">
        <v>172000</v>
      </c>
      <c r="D25" s="18" t="n">
        <v>177000</v>
      </c>
      <c r="E25" s="18" t="n">
        <v>171000</v>
      </c>
      <c r="F25" s="18" t="n">
        <v>180000</v>
      </c>
      <c r="G25" s="18" t="n">
        <v>181000</v>
      </c>
      <c r="H25" s="18" t="n">
        <v>178000</v>
      </c>
      <c r="I25" s="18" t="n">
        <v>183000</v>
      </c>
      <c r="J25" s="18" t="n">
        <v>175000</v>
      </c>
      <c r="K25" s="18" t="n">
        <v>180000</v>
      </c>
      <c r="L25" s="20" t="n">
        <v>174000</v>
      </c>
      <c r="M25" s="20" t="n">
        <v>174000</v>
      </c>
      <c r="N25" s="20" t="n">
        <v>175000</v>
      </c>
      <c r="O25" s="19" t="n">
        <f aca="false">SUM(C25:N25)</f>
        <v>2120000</v>
      </c>
    </row>
    <row r="26" customFormat="false" ht="15" hidden="false" customHeight="false" outlineLevel="0" collapsed="false">
      <c r="A26" s="16" t="s">
        <v>57</v>
      </c>
      <c r="B26" s="17" t="s">
        <v>52</v>
      </c>
      <c r="C26" s="18" t="n">
        <v>58000</v>
      </c>
      <c r="D26" s="18" t="n">
        <v>58000</v>
      </c>
      <c r="E26" s="18" t="n">
        <v>58500</v>
      </c>
      <c r="F26" s="18" t="n">
        <v>58500</v>
      </c>
      <c r="G26" s="18" t="n">
        <v>59000</v>
      </c>
      <c r="H26" s="18" t="n">
        <v>59000</v>
      </c>
      <c r="I26" s="18" t="n">
        <v>59000</v>
      </c>
      <c r="J26" s="18" t="n">
        <v>59500</v>
      </c>
      <c r="K26" s="18" t="n">
        <v>59500</v>
      </c>
      <c r="L26" s="20" t="n">
        <v>59500</v>
      </c>
      <c r="M26" s="20" t="n">
        <v>59500</v>
      </c>
      <c r="N26" s="20" t="n">
        <v>59500</v>
      </c>
      <c r="O26" s="19" t="n">
        <f aca="false">SUM(C26:N26)</f>
        <v>707500</v>
      </c>
    </row>
    <row r="27" customFormat="false" ht="15" hidden="false" customHeight="false" outlineLevel="0" collapsed="false">
      <c r="A27" s="16" t="s">
        <v>58</v>
      </c>
      <c r="B27" s="17" t="s">
        <v>52</v>
      </c>
      <c r="C27" s="18" t="n">
        <v>14300</v>
      </c>
      <c r="D27" s="18" t="n">
        <v>14200</v>
      </c>
      <c r="E27" s="18" t="n">
        <v>14250</v>
      </c>
      <c r="F27" s="18" t="n">
        <v>14300</v>
      </c>
      <c r="G27" s="18" t="n">
        <v>14200</v>
      </c>
      <c r="H27" s="18" t="n">
        <v>14150</v>
      </c>
      <c r="I27" s="18" t="n">
        <v>14100</v>
      </c>
      <c r="J27" s="18" t="n">
        <v>14200</v>
      </c>
      <c r="K27" s="18" t="n">
        <v>14150</v>
      </c>
      <c r="L27" s="20" t="n">
        <v>14200</v>
      </c>
      <c r="M27" s="20" t="n">
        <v>14200</v>
      </c>
      <c r="N27" s="20" t="n">
        <v>14200</v>
      </c>
      <c r="O27" s="19" t="n">
        <f aca="false">SUM(C27:N27)</f>
        <v>170450</v>
      </c>
    </row>
    <row r="29" customFormat="false" ht="15" hidden="false" customHeight="false" outlineLevel="0" collapsed="false">
      <c r="A29" s="14" t="s">
        <v>60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customFormat="false" ht="15" hidden="false" customHeight="false" outlineLevel="0" collapsed="false">
      <c r="A30" s="16" t="s">
        <v>61</v>
      </c>
      <c r="C30" s="18" t="n">
        <v>2180000</v>
      </c>
      <c r="D30" s="18" t="n">
        <v>2230000</v>
      </c>
      <c r="E30" s="18" t="n">
        <v>2310000</v>
      </c>
      <c r="F30" s="18" t="n">
        <v>2290000</v>
      </c>
      <c r="G30" s="18" t="n">
        <v>2350000</v>
      </c>
      <c r="H30" s="18" t="n">
        <v>2410000</v>
      </c>
      <c r="I30" s="18" t="n">
        <v>2330000</v>
      </c>
      <c r="J30" s="18" t="n">
        <v>2420000</v>
      </c>
      <c r="K30" s="18" t="n">
        <v>2460000</v>
      </c>
    </row>
    <row r="31" customFormat="false" ht="15" hidden="false" customHeight="false" outlineLevel="0" collapsed="false">
      <c r="A31" s="16" t="s">
        <v>62</v>
      </c>
      <c r="C31" s="18" t="n">
        <v>1650000</v>
      </c>
      <c r="D31" s="18" t="n">
        <v>1690000</v>
      </c>
      <c r="E31" s="18" t="n">
        <v>1720000</v>
      </c>
      <c r="F31" s="18" t="n">
        <v>1700000</v>
      </c>
      <c r="G31" s="18" t="n">
        <v>1760000</v>
      </c>
      <c r="H31" s="18" t="n">
        <v>1780000</v>
      </c>
      <c r="I31" s="18" t="n">
        <v>1740000</v>
      </c>
      <c r="J31" s="18" t="n">
        <v>1790000</v>
      </c>
      <c r="K31" s="18" t="n">
        <v>1810000</v>
      </c>
    </row>
    <row r="32" customFormat="false" ht="15" hidden="false" customHeight="false" outlineLevel="0" collapsed="false">
      <c r="A32" s="16" t="s">
        <v>63</v>
      </c>
      <c r="C32" s="18" t="n">
        <v>1150000</v>
      </c>
      <c r="D32" s="18" t="n">
        <v>1170000</v>
      </c>
      <c r="E32" s="18" t="n">
        <v>1210000</v>
      </c>
      <c r="F32" s="18" t="n">
        <v>1190000</v>
      </c>
      <c r="G32" s="18" t="n">
        <v>1230000</v>
      </c>
      <c r="H32" s="18" t="n">
        <v>1250000</v>
      </c>
      <c r="I32" s="18" t="n">
        <v>1200000</v>
      </c>
      <c r="J32" s="18" t="n">
        <v>1240000</v>
      </c>
      <c r="K32" s="18" t="n">
        <v>1260000</v>
      </c>
    </row>
    <row r="33" customFormat="false" ht="15" hidden="false" customHeight="false" outlineLevel="0" collapsed="false">
      <c r="A33" s="16" t="s">
        <v>64</v>
      </c>
      <c r="C33" s="18" t="n">
        <v>6900000</v>
      </c>
      <c r="D33" s="18" t="n">
        <v>7100000</v>
      </c>
      <c r="E33" s="18" t="n">
        <v>7300000</v>
      </c>
      <c r="F33" s="18" t="n">
        <v>7200000</v>
      </c>
      <c r="G33" s="18" t="n">
        <v>7500000</v>
      </c>
      <c r="H33" s="18" t="n">
        <v>7700000</v>
      </c>
      <c r="I33" s="18" t="n">
        <v>7600000</v>
      </c>
      <c r="J33" s="18" t="n">
        <v>7800000</v>
      </c>
      <c r="K33" s="18" t="n">
        <v>7900000</v>
      </c>
    </row>
    <row r="34" customFormat="false" ht="15" hidden="false" customHeight="false" outlineLevel="0" collapsed="false">
      <c r="A34" s="16" t="s">
        <v>65</v>
      </c>
      <c r="C34" s="18" t="n">
        <v>598000</v>
      </c>
      <c r="D34" s="18" t="n">
        <v>571000</v>
      </c>
      <c r="E34" s="18" t="n">
        <v>552000</v>
      </c>
      <c r="F34" s="18" t="n">
        <v>610000</v>
      </c>
      <c r="G34" s="18" t="n">
        <v>566000</v>
      </c>
      <c r="H34" s="18" t="n">
        <v>548000</v>
      </c>
      <c r="I34" s="18" t="n">
        <v>602000</v>
      </c>
      <c r="J34" s="18" t="n">
        <v>598240</v>
      </c>
      <c r="K34" s="21" t="n">
        <f aca="false">Bank_Rec!C20</f>
        <v>566427.25</v>
      </c>
    </row>
    <row r="35" customFormat="false" ht="15" hidden="false" customHeight="false" outlineLevel="0" collapsed="false">
      <c r="A35" s="16" t="s">
        <v>66</v>
      </c>
      <c r="C35" s="18" t="n">
        <v>820000</v>
      </c>
      <c r="D35" s="18" t="n">
        <v>860000</v>
      </c>
      <c r="E35" s="18" t="n">
        <v>900000</v>
      </c>
      <c r="F35" s="18" t="n">
        <v>880000</v>
      </c>
      <c r="G35" s="18" t="n">
        <v>930000</v>
      </c>
      <c r="H35" s="18" t="n">
        <v>950000</v>
      </c>
      <c r="I35" s="18" t="n">
        <v>920000</v>
      </c>
      <c r="J35" s="18" t="n">
        <v>940000</v>
      </c>
      <c r="K35" s="18" t="n">
        <v>960000</v>
      </c>
    </row>
    <row r="36" customFormat="false" ht="15" hidden="false" customHeight="false" outlineLevel="0" collapsed="false">
      <c r="A36" s="16" t="s">
        <v>67</v>
      </c>
      <c r="C36" s="18" t="n">
        <v>1793000</v>
      </c>
      <c r="D36" s="18" t="n">
        <v>1747000</v>
      </c>
      <c r="E36" s="18" t="n">
        <v>1700000</v>
      </c>
      <c r="F36" s="18" t="n">
        <v>1653000</v>
      </c>
      <c r="G36" s="18" t="n">
        <v>1607000</v>
      </c>
      <c r="H36" s="18" t="n">
        <v>1560000</v>
      </c>
      <c r="I36" s="18" t="n">
        <v>1513000</v>
      </c>
      <c r="J36" s="18" t="n">
        <v>1467000</v>
      </c>
      <c r="K36" s="18" t="n">
        <v>1420000</v>
      </c>
    </row>
    <row r="37" customFormat="false" ht="15" hidden="false" customHeight="false" outlineLevel="0" collapsed="false">
      <c r="A37" s="16" t="s">
        <v>68</v>
      </c>
      <c r="C37" s="18" t="n">
        <v>1000000</v>
      </c>
      <c r="D37" s="18" t="n">
        <v>1000000</v>
      </c>
      <c r="E37" s="18" t="n">
        <v>1000000</v>
      </c>
      <c r="F37" s="18" t="n">
        <v>1000000</v>
      </c>
      <c r="G37" s="18" t="n">
        <v>1000000</v>
      </c>
      <c r="H37" s="18" t="n">
        <v>1000000</v>
      </c>
      <c r="I37" s="18" t="n">
        <v>1000000</v>
      </c>
      <c r="J37" s="18" t="n">
        <v>1000000</v>
      </c>
      <c r="K37" s="18" t="n"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3"/>
    <col collapsed="false" customWidth="true" hidden="false" outlineLevel="0" max="5" min="5" style="1" width="9"/>
    <col collapsed="false" customWidth="true" hidden="false" outlineLevel="0" max="6" min="6" style="1" width="6"/>
    <col collapsed="false" customWidth="true" hidden="false" outlineLevel="0" max="7" min="7" style="1" width="3"/>
    <col collapsed="false" customWidth="true" hidden="false" outlineLevel="0" max="10" min="8" style="1" width="13"/>
    <col collapsed="false" customWidth="true" hidden="false" outlineLevel="0" max="11" min="11" style="1" width="9"/>
    <col collapsed="false" customWidth="true" hidden="false" outlineLevel="0" max="12" min="12" style="1" width="6"/>
  </cols>
  <sheetData>
    <row r="1" customFormat="false" ht="17.35" hidden="false" customHeight="false" outlineLevel="0" collapsed="false">
      <c r="A1" s="13" t="s">
        <v>69</v>
      </c>
    </row>
    <row r="2" customFormat="false" ht="15" hidden="false" customHeight="false" outlineLevel="0" collapsed="false">
      <c r="A2" s="4" t="s">
        <v>70</v>
      </c>
    </row>
    <row r="4" customFormat="false" ht="15" hidden="false" customHeight="false" outlineLevel="0" collapsed="false">
      <c r="A4" s="6"/>
      <c r="B4" s="7" t="s">
        <v>71</v>
      </c>
      <c r="C4" s="7"/>
      <c r="D4" s="7"/>
      <c r="E4" s="7"/>
      <c r="F4" s="7"/>
      <c r="G4" s="7"/>
      <c r="H4" s="7" t="s">
        <v>72</v>
      </c>
      <c r="I4" s="7"/>
      <c r="J4" s="7"/>
      <c r="K4" s="7"/>
      <c r="L4" s="7"/>
    </row>
    <row r="5" customFormat="false" ht="15" hidden="false" customHeight="false" outlineLevel="0" collapsed="false">
      <c r="A5" s="6" t="s">
        <v>31</v>
      </c>
      <c r="B5" s="7" t="s">
        <v>46</v>
      </c>
      <c r="C5" s="7" t="s">
        <v>73</v>
      </c>
      <c r="D5" s="7" t="s">
        <v>74</v>
      </c>
      <c r="E5" s="7" t="s">
        <v>75</v>
      </c>
      <c r="F5" s="7" t="s">
        <v>76</v>
      </c>
      <c r="G5" s="7"/>
      <c r="H5" s="7" t="s">
        <v>46</v>
      </c>
      <c r="I5" s="7" t="s">
        <v>73</v>
      </c>
      <c r="J5" s="7" t="s">
        <v>74</v>
      </c>
      <c r="K5" s="7" t="s">
        <v>75</v>
      </c>
      <c r="L5" s="7" t="s">
        <v>76</v>
      </c>
    </row>
    <row r="6" customFormat="false" ht="15" hidden="false" customHeight="false" outlineLevel="0" collapsed="false">
      <c r="A6" s="16" t="s">
        <v>77</v>
      </c>
      <c r="B6" s="21" t="n">
        <f aca="false">Monthly_Data!K6</f>
        <v>638000</v>
      </c>
      <c r="C6" s="21" t="n">
        <f aca="false">Monthly_Data!K18</f>
        <v>538000</v>
      </c>
      <c r="D6" s="22" t="n">
        <f aca="false">C6-B6</f>
        <v>-100000</v>
      </c>
      <c r="E6" s="23" t="n">
        <f aca="false">IFERROR(D6/ABS(B6),0)</f>
        <v>-0.156739811912226</v>
      </c>
      <c r="F6" s="24" t="str">
        <f aca="false">IF(D6&gt;=0,"F","U")</f>
        <v>U</v>
      </c>
      <c r="H6" s="21" t="n">
        <f aca="false">SUM(Monthly_Data!C6:K6)</f>
        <v>5647000</v>
      </c>
      <c r="I6" s="21" t="n">
        <f aca="false">SUM(Monthly_Data!C18:K18)</f>
        <v>4865000</v>
      </c>
      <c r="J6" s="22" t="n">
        <f aca="false">I6-H6</f>
        <v>-782000</v>
      </c>
      <c r="K6" s="23" t="n">
        <f aca="false">IFERROR(J6/ABS(H6),0)</f>
        <v>-0.138480609173012</v>
      </c>
      <c r="L6" s="24" t="str">
        <f aca="false">IF(J6&gt;=0,"F","U")</f>
        <v>U</v>
      </c>
    </row>
    <row r="7" customFormat="false" ht="15" hidden="false" customHeight="false" outlineLevel="0" collapsed="false">
      <c r="A7" s="16" t="s">
        <v>78</v>
      </c>
      <c r="B7" s="21" t="n">
        <f aca="false">Monthly_Data!K7</f>
        <v>559000</v>
      </c>
      <c r="C7" s="21" t="n">
        <f aca="false">Monthly_Data!K19</f>
        <v>628000</v>
      </c>
      <c r="D7" s="22" t="n">
        <f aca="false">C7-B7</f>
        <v>69000</v>
      </c>
      <c r="E7" s="23" t="n">
        <f aca="false">IFERROR(D7/ABS(B7),0)</f>
        <v>0.123434704830054</v>
      </c>
      <c r="F7" s="24" t="str">
        <f aca="false">IF(D7&gt;=0,"F","U")</f>
        <v>F</v>
      </c>
      <c r="H7" s="21" t="n">
        <f aca="false">SUM(Monthly_Data!C7:K7)</f>
        <v>4942000</v>
      </c>
      <c r="I7" s="21" t="n">
        <f aca="false">SUM(Monthly_Data!C19:K19)</f>
        <v>5329000</v>
      </c>
      <c r="J7" s="22" t="n">
        <f aca="false">I7-H7</f>
        <v>387000</v>
      </c>
      <c r="K7" s="23" t="n">
        <f aca="false">IFERROR(J7/ABS(H7),0)</f>
        <v>0.0783083771752327</v>
      </c>
      <c r="L7" s="24" t="str">
        <f aca="false">IF(J7&gt;=0,"F","U")</f>
        <v>F</v>
      </c>
    </row>
    <row r="8" customFormat="false" ht="15" hidden="false" customHeight="false" outlineLevel="0" collapsed="false">
      <c r="A8" s="16" t="s">
        <v>79</v>
      </c>
      <c r="B8" s="21" t="n">
        <f aca="false">Monthly_Data!K8</f>
        <v>399000</v>
      </c>
      <c r="C8" s="21" t="n">
        <f aca="false">Monthly_Data!K20</f>
        <v>389000</v>
      </c>
      <c r="D8" s="22" t="n">
        <f aca="false">C8-B8</f>
        <v>-10000</v>
      </c>
      <c r="E8" s="23" t="n">
        <f aca="false">IFERROR(D8/ABS(B8),0)</f>
        <v>-0.025062656641604</v>
      </c>
      <c r="F8" s="24" t="str">
        <f aca="false">IF(D8&gt;=0,"F","U")</f>
        <v>U</v>
      </c>
      <c r="H8" s="21" t="n">
        <f aca="false">SUM(Monthly_Data!C8:K8)</f>
        <v>3529000</v>
      </c>
      <c r="I8" s="21" t="n">
        <f aca="false">SUM(Monthly_Data!C20:K20)</f>
        <v>3470000</v>
      </c>
      <c r="J8" s="22" t="n">
        <f aca="false">I8-H8</f>
        <v>-59000</v>
      </c>
      <c r="K8" s="23" t="n">
        <f aca="false">IFERROR(J8/ABS(H8),0)</f>
        <v>-0.0167186171720034</v>
      </c>
      <c r="L8" s="24" t="str">
        <f aca="false">IF(J8&gt;=0,"F","U")</f>
        <v>U</v>
      </c>
    </row>
    <row r="9" customFormat="false" ht="15" hidden="false" customHeight="false" outlineLevel="0" collapsed="false">
      <c r="A9" s="8" t="s">
        <v>80</v>
      </c>
      <c r="B9" s="25" t="n">
        <f aca="false">SUM(B6:B8)</f>
        <v>1596000</v>
      </c>
      <c r="C9" s="25" t="n">
        <f aca="false">SUM(C6:C8)</f>
        <v>1555000</v>
      </c>
      <c r="D9" s="19" t="n">
        <f aca="false">C9-B9</f>
        <v>-41000</v>
      </c>
      <c r="E9" s="23" t="n">
        <f aca="false">IFERROR(D9/ABS(B9),0)</f>
        <v>-0.0256892230576441</v>
      </c>
      <c r="F9" s="24" t="str">
        <f aca="false">IF(D9&gt;=0,"F","U")</f>
        <v>U</v>
      </c>
      <c r="H9" s="25" t="n">
        <f aca="false">SUM(H6:H8)</f>
        <v>14118000</v>
      </c>
      <c r="I9" s="25" t="n">
        <f aca="false">SUM(I6:I8)</f>
        <v>13664000</v>
      </c>
      <c r="J9" s="19" t="n">
        <f aca="false">I9-H9</f>
        <v>-454000</v>
      </c>
      <c r="K9" s="23" t="n">
        <f aca="false">IFERROR(J9/ABS(H9),0)</f>
        <v>-0.0321575293950985</v>
      </c>
      <c r="L9" s="24" t="str">
        <f aca="false">IF(J9&gt;=0,"F","U")</f>
        <v>U</v>
      </c>
    </row>
    <row r="10" customFormat="false" ht="15" hidden="false" customHeight="false" outlineLevel="0" collapsed="false">
      <c r="A10" s="16" t="s">
        <v>51</v>
      </c>
      <c r="B10" s="21" t="n">
        <f aca="false">Monthly_Data!K9</f>
        <v>475000</v>
      </c>
      <c r="C10" s="21" t="n">
        <f aca="false">Monthly_Data!K21</f>
        <v>412000</v>
      </c>
      <c r="D10" s="22" t="n">
        <f aca="false">C10-B10</f>
        <v>-63000</v>
      </c>
      <c r="E10" s="23" t="n">
        <f aca="false">IFERROR(D10/ABS(B10),0)</f>
        <v>-0.132631578947368</v>
      </c>
      <c r="F10" s="24" t="str">
        <f aca="false">IF(D10&lt;=0,"F","U")</f>
        <v>F</v>
      </c>
      <c r="H10" s="21" t="n">
        <f aca="false">SUM(Monthly_Data!C9:K9)</f>
        <v>4206000</v>
      </c>
      <c r="I10" s="21" t="n">
        <f aca="false">SUM(Monthly_Data!C21:K21)</f>
        <v>3714000</v>
      </c>
      <c r="J10" s="22" t="n">
        <f aca="false">I10-H10</f>
        <v>-492000</v>
      </c>
      <c r="K10" s="23" t="n">
        <f aca="false">IFERROR(J10/ABS(H10),0)</f>
        <v>-0.1169757489301</v>
      </c>
      <c r="L10" s="24" t="str">
        <f aca="false">IF(J10&lt;=0,"F","U")</f>
        <v>F</v>
      </c>
    </row>
    <row r="11" customFormat="false" ht="15" hidden="false" customHeight="false" outlineLevel="0" collapsed="false">
      <c r="A11" s="16" t="s">
        <v>53</v>
      </c>
      <c r="B11" s="21" t="n">
        <f aca="false">Monthly_Data!K10</f>
        <v>391000</v>
      </c>
      <c r="C11" s="21" t="n">
        <f aca="false">Monthly_Data!K22</f>
        <v>438000</v>
      </c>
      <c r="D11" s="22" t="n">
        <f aca="false">C11-B11</f>
        <v>47000</v>
      </c>
      <c r="E11" s="23" t="n">
        <f aca="false">IFERROR(D11/ABS(B11),0)</f>
        <v>0.120204603580563</v>
      </c>
      <c r="F11" s="24" t="str">
        <f aca="false">IF(D11&lt;=0,"F","U")</f>
        <v>U</v>
      </c>
      <c r="H11" s="21" t="n">
        <f aca="false">SUM(Monthly_Data!C10:K10)</f>
        <v>3457000</v>
      </c>
      <c r="I11" s="21" t="n">
        <f aca="false">SUM(Monthly_Data!C22:K22)</f>
        <v>3698000</v>
      </c>
      <c r="J11" s="22" t="n">
        <f aca="false">I11-H11</f>
        <v>241000</v>
      </c>
      <c r="K11" s="23" t="n">
        <f aca="false">IFERROR(J11/ABS(H11),0)</f>
        <v>0.0697136245299393</v>
      </c>
      <c r="L11" s="24" t="str">
        <f aca="false">IF(J11&lt;=0,"F","U")</f>
        <v>U</v>
      </c>
    </row>
    <row r="12" customFormat="false" ht="15" hidden="false" customHeight="false" outlineLevel="0" collapsed="false">
      <c r="A12" s="16" t="s">
        <v>54</v>
      </c>
      <c r="B12" s="21" t="n">
        <f aca="false">Monthly_Data!K11</f>
        <v>290000</v>
      </c>
      <c r="C12" s="21" t="n">
        <f aca="false">Monthly_Data!K23</f>
        <v>283000</v>
      </c>
      <c r="D12" s="22" t="n">
        <f aca="false">C12-B12</f>
        <v>-7000</v>
      </c>
      <c r="E12" s="23" t="n">
        <f aca="false">IFERROR(D12/ABS(B12),0)</f>
        <v>-0.0241379310344828</v>
      </c>
      <c r="F12" s="24" t="str">
        <f aca="false">IF(D12&lt;=0,"F","U")</f>
        <v>F</v>
      </c>
      <c r="H12" s="21" t="n">
        <f aca="false">SUM(Monthly_Data!C11:K11)</f>
        <v>2568000</v>
      </c>
      <c r="I12" s="21" t="n">
        <f aca="false">SUM(Monthly_Data!C23:K23)</f>
        <v>2532000</v>
      </c>
      <c r="J12" s="22" t="n">
        <f aca="false">I12-H12</f>
        <v>-36000</v>
      </c>
      <c r="K12" s="23" t="n">
        <f aca="false">IFERROR(J12/ABS(H12),0)</f>
        <v>-0.014018691588785</v>
      </c>
      <c r="L12" s="24" t="str">
        <f aca="false">IF(J12&lt;=0,"F","U")</f>
        <v>F</v>
      </c>
    </row>
    <row r="13" customFormat="false" ht="15" hidden="false" customHeight="false" outlineLevel="0" collapsed="false">
      <c r="A13" s="8" t="s">
        <v>81</v>
      </c>
      <c r="B13" s="25" t="n">
        <f aca="false">SUM(B10:B12)</f>
        <v>1156000</v>
      </c>
      <c r="C13" s="25" t="n">
        <f aca="false">SUM(C10:C12)</f>
        <v>1133000</v>
      </c>
      <c r="D13" s="19" t="n">
        <f aca="false">C13-B13</f>
        <v>-23000</v>
      </c>
      <c r="E13" s="23" t="n">
        <f aca="false">IFERROR(D13/ABS(B13),0)</f>
        <v>-0.0198961937716263</v>
      </c>
      <c r="F13" s="24" t="str">
        <f aca="false">IF(D13&lt;=0,"F","U")</f>
        <v>F</v>
      </c>
      <c r="H13" s="25" t="n">
        <f aca="false">SUM(H10:H12)</f>
        <v>10231000</v>
      </c>
      <c r="I13" s="25" t="n">
        <f aca="false">SUM(I10:I12)</f>
        <v>9944000</v>
      </c>
      <c r="J13" s="19" t="n">
        <f aca="false">I13-H13</f>
        <v>-287000</v>
      </c>
      <c r="K13" s="23" t="n">
        <f aca="false">IFERROR(J13/ABS(H13),0)</f>
        <v>-0.0280519988270941</v>
      </c>
      <c r="L13" s="24" t="str">
        <f aca="false">IF(J13&lt;=0,"F","U")</f>
        <v>F</v>
      </c>
    </row>
    <row r="14" customFormat="false" ht="15" hidden="false" customHeight="false" outlineLevel="0" collapsed="false">
      <c r="A14" s="8" t="s">
        <v>82</v>
      </c>
      <c r="B14" s="25" t="n">
        <f aca="false">B9-B13</f>
        <v>440000</v>
      </c>
      <c r="C14" s="25" t="n">
        <f aca="false">C9-C13</f>
        <v>422000</v>
      </c>
      <c r="D14" s="19" t="n">
        <f aca="false">C14-B14</f>
        <v>-18000</v>
      </c>
      <c r="E14" s="23" t="n">
        <f aca="false">IFERROR(D14/ABS(B14),0)</f>
        <v>-0.0409090909090909</v>
      </c>
      <c r="F14" s="24" t="str">
        <f aca="false">IF(D14&gt;=0,"F","U")</f>
        <v>U</v>
      </c>
      <c r="H14" s="25" t="n">
        <f aca="false">H9-H13</f>
        <v>3887000</v>
      </c>
      <c r="I14" s="25" t="n">
        <f aca="false">I9-I13</f>
        <v>3720000</v>
      </c>
      <c r="J14" s="19" t="n">
        <f aca="false">I14-H14</f>
        <v>-167000</v>
      </c>
      <c r="K14" s="23" t="n">
        <f aca="false">IFERROR(J14/ABS(H14),0)</f>
        <v>-0.0429637252379727</v>
      </c>
      <c r="L14" s="24" t="str">
        <f aca="false">IF(J14&gt;=0,"F","U")</f>
        <v>U</v>
      </c>
    </row>
    <row r="15" customFormat="false" ht="15" hidden="false" customHeight="false" outlineLevel="0" collapsed="false">
      <c r="A15" s="8" t="s">
        <v>83</v>
      </c>
      <c r="B15" s="26" t="n">
        <f aca="false">B14/B9</f>
        <v>0.275689223057644</v>
      </c>
      <c r="C15" s="26" t="n">
        <f aca="false">C14/C9</f>
        <v>0.271382636655949</v>
      </c>
      <c r="D15" s="27" t="n">
        <f aca="false">C15-B15</f>
        <v>-0.00430658640169557</v>
      </c>
      <c r="F15" s="24" t="str">
        <f aca="false">IF(D15&gt;=0,"F","U")</f>
        <v>U</v>
      </c>
      <c r="H15" s="26" t="n">
        <f aca="false">H14/H9</f>
        <v>0.275322283609576</v>
      </c>
      <c r="I15" s="26" t="n">
        <f aca="false">I14/I9</f>
        <v>0.272248243559719</v>
      </c>
      <c r="J15" s="27" t="n">
        <f aca="false">I15-H15</f>
        <v>-0.00307404004985745</v>
      </c>
      <c r="L15" s="24" t="str">
        <f aca="false">IF(J15&gt;=0,"F","U")</f>
        <v>U</v>
      </c>
    </row>
    <row r="16" customFormat="false" ht="15" hidden="false" customHeight="false" outlineLevel="0" collapsed="false">
      <c r="A16" s="16" t="s">
        <v>55</v>
      </c>
      <c r="B16" s="21" t="n">
        <f aca="false">Monthly_Data!K12</f>
        <v>38333</v>
      </c>
      <c r="C16" s="21" t="n">
        <f aca="false">Monthly_Data!K24</f>
        <v>38333</v>
      </c>
      <c r="D16" s="22" t="n">
        <f aca="false">C16-B16</f>
        <v>0</v>
      </c>
      <c r="E16" s="23" t="n">
        <f aca="false">IFERROR(D16/ABS(B16),0)</f>
        <v>0</v>
      </c>
      <c r="F16" s="24" t="str">
        <f aca="false">IF(D16&lt;=0,"F","U")</f>
        <v>F</v>
      </c>
      <c r="H16" s="21" t="n">
        <f aca="false">SUM(Monthly_Data!C12:K12)</f>
        <v>344997</v>
      </c>
      <c r="I16" s="21" t="n">
        <f aca="false">SUM(Monthly_Data!C24:K24)</f>
        <v>344997</v>
      </c>
      <c r="J16" s="22" t="n">
        <f aca="false">I16-H16</f>
        <v>0</v>
      </c>
      <c r="K16" s="23" t="n">
        <f aca="false">IFERROR(J16/ABS(H16),0)</f>
        <v>0</v>
      </c>
      <c r="L16" s="24" t="str">
        <f aca="false">IF(J16&lt;=0,"F","U")</f>
        <v>F</v>
      </c>
    </row>
    <row r="17" customFormat="false" ht="15" hidden="false" customHeight="false" outlineLevel="0" collapsed="false">
      <c r="A17" s="16" t="s">
        <v>56</v>
      </c>
      <c r="B17" s="21" t="n">
        <f aca="false">Monthly_Data!K13</f>
        <v>179000</v>
      </c>
      <c r="C17" s="21" t="n">
        <f aca="false">Monthly_Data!K25</f>
        <v>180000</v>
      </c>
      <c r="D17" s="22" t="n">
        <f aca="false">C17-B17</f>
        <v>1000</v>
      </c>
      <c r="E17" s="23" t="n">
        <f aca="false">IFERROR(D17/ABS(B17),0)</f>
        <v>0.00558659217877095</v>
      </c>
      <c r="F17" s="24" t="str">
        <f aca="false">IF(D17&lt;=0,"F","U")</f>
        <v>U</v>
      </c>
      <c r="H17" s="21" t="n">
        <f aca="false">SUM(Monthly_Data!C13:K13)</f>
        <v>1611000</v>
      </c>
      <c r="I17" s="21" t="n">
        <f aca="false">SUM(Monthly_Data!C25:K25)</f>
        <v>1597000</v>
      </c>
      <c r="J17" s="22" t="n">
        <f aca="false">I17-H17</f>
        <v>-14000</v>
      </c>
      <c r="K17" s="23" t="n">
        <f aca="false">IFERROR(J17/ABS(H17),0)</f>
        <v>-0.00869025450031037</v>
      </c>
      <c r="L17" s="24" t="str">
        <f aca="false">IF(J17&lt;=0,"F","U")</f>
        <v>F</v>
      </c>
    </row>
    <row r="18" customFormat="false" ht="15" hidden="false" customHeight="false" outlineLevel="0" collapsed="false">
      <c r="A18" s="8" t="s">
        <v>84</v>
      </c>
      <c r="B18" s="25" t="n">
        <f aca="false">B14-B16-B17</f>
        <v>222667</v>
      </c>
      <c r="C18" s="25" t="n">
        <f aca="false">C14-C16-C17</f>
        <v>203667</v>
      </c>
      <c r="D18" s="19" t="n">
        <f aca="false">C18-B18</f>
        <v>-19000</v>
      </c>
      <c r="E18" s="23" t="n">
        <f aca="false">IFERROR(D18/ABS(B18),0)</f>
        <v>-0.0853292135790216</v>
      </c>
      <c r="F18" s="24" t="str">
        <f aca="false">IF(D18&gt;=0,"F","U")</f>
        <v>U</v>
      </c>
      <c r="H18" s="25" t="n">
        <f aca="false">H14-H16-H17</f>
        <v>1931003</v>
      </c>
      <c r="I18" s="25" t="n">
        <f aca="false">I14-I16-I17</f>
        <v>1778003</v>
      </c>
      <c r="J18" s="19" t="n">
        <f aca="false">I18-H18</f>
        <v>-153000</v>
      </c>
      <c r="K18" s="23" t="n">
        <f aca="false">IFERROR(J18/ABS(H18),0)</f>
        <v>-0.0792334346451041</v>
      </c>
      <c r="L18" s="24" t="str">
        <f aca="false">IF(J18&gt;=0,"F","U")</f>
        <v>U</v>
      </c>
    </row>
    <row r="19" customFormat="false" ht="15" hidden="false" customHeight="false" outlineLevel="0" collapsed="false">
      <c r="A19" s="8" t="s">
        <v>85</v>
      </c>
      <c r="B19" s="26" t="n">
        <f aca="false">B18/B9</f>
        <v>0.139515664160401</v>
      </c>
      <c r="C19" s="26" t="n">
        <f aca="false">C18/C9</f>
        <v>0.130975562700965</v>
      </c>
      <c r="D19" s="27" t="n">
        <f aca="false">C19-B19</f>
        <v>-0.00854010145943637</v>
      </c>
      <c r="F19" s="24" t="str">
        <f aca="false">IF(D19&gt;=0,"F","U")</f>
        <v>U</v>
      </c>
      <c r="H19" s="26" t="n">
        <f aca="false">H18/H9</f>
        <v>0.136775959767672</v>
      </c>
      <c r="I19" s="26" t="n">
        <f aca="false">I18/I9</f>
        <v>0.130123170374707</v>
      </c>
      <c r="J19" s="27" t="n">
        <f aca="false">I19-H19</f>
        <v>-0.00665278939296524</v>
      </c>
      <c r="L19" s="24" t="str">
        <f aca="false">IF(J19&gt;=0,"F","U")</f>
        <v>U</v>
      </c>
    </row>
    <row r="20" customFormat="false" ht="15" hidden="false" customHeight="false" outlineLevel="0" collapsed="false">
      <c r="A20" s="16" t="s">
        <v>57</v>
      </c>
      <c r="B20" s="21" t="n">
        <f aca="false">Monthly_Data!K14</f>
        <v>60000</v>
      </c>
      <c r="C20" s="21" t="n">
        <f aca="false">Monthly_Data!K26</f>
        <v>59500</v>
      </c>
      <c r="D20" s="22" t="n">
        <f aca="false">C20-B20</f>
        <v>-500</v>
      </c>
      <c r="E20" s="23" t="n">
        <f aca="false">IFERROR(D20/ABS(B20),0)</f>
        <v>-0.00833333333333333</v>
      </c>
      <c r="F20" s="24" t="str">
        <f aca="false">IF(D20&lt;=0,"F","U")</f>
        <v>F</v>
      </c>
      <c r="H20" s="21" t="n">
        <f aca="false">SUM(Monthly_Data!C14:K14)</f>
        <v>540000</v>
      </c>
      <c r="I20" s="21" t="n">
        <f aca="false">SUM(Monthly_Data!C26:K26)</f>
        <v>529000</v>
      </c>
      <c r="J20" s="22" t="n">
        <f aca="false">I20-H20</f>
        <v>-11000</v>
      </c>
      <c r="K20" s="23" t="n">
        <f aca="false">IFERROR(J20/ABS(H20),0)</f>
        <v>-0.0203703703703704</v>
      </c>
      <c r="L20" s="24" t="str">
        <f aca="false">IF(J20&lt;=0,"F","U")</f>
        <v>F</v>
      </c>
    </row>
    <row r="21" customFormat="false" ht="15" hidden="false" customHeight="false" outlineLevel="0" collapsed="false">
      <c r="A21" s="16" t="s">
        <v>58</v>
      </c>
      <c r="B21" s="21" t="n">
        <f aca="false">Monthly_Data!K15</f>
        <v>14500</v>
      </c>
      <c r="C21" s="21" t="n">
        <f aca="false">Monthly_Data!K27</f>
        <v>14150</v>
      </c>
      <c r="D21" s="22" t="n">
        <f aca="false">C21-B21</f>
        <v>-350</v>
      </c>
      <c r="E21" s="23" t="n">
        <f aca="false">IFERROR(D21/ABS(B21),0)</f>
        <v>-0.0241379310344828</v>
      </c>
      <c r="F21" s="24" t="str">
        <f aca="false">IF(D21&lt;=0,"F","U")</f>
        <v>F</v>
      </c>
      <c r="H21" s="21" t="n">
        <f aca="false">SUM(Monthly_Data!C15:K15)</f>
        <v>130500</v>
      </c>
      <c r="I21" s="21" t="n">
        <f aca="false">SUM(Monthly_Data!C27:K27)</f>
        <v>127850</v>
      </c>
      <c r="J21" s="22" t="n">
        <f aca="false">I21-H21</f>
        <v>-2650</v>
      </c>
      <c r="K21" s="23" t="n">
        <f aca="false">IFERROR(J21/ABS(H21),0)</f>
        <v>-0.0203065134099617</v>
      </c>
      <c r="L21" s="24" t="str">
        <f aca="false">IF(J21&lt;=0,"F","U")</f>
        <v>F</v>
      </c>
    </row>
    <row r="22" customFormat="false" ht="15" hidden="false" customHeight="false" outlineLevel="0" collapsed="false">
      <c r="A22" s="8" t="s">
        <v>86</v>
      </c>
      <c r="B22" s="25" t="n">
        <f aca="false">B18-B20-B21</f>
        <v>148167</v>
      </c>
      <c r="C22" s="25" t="n">
        <f aca="false">C18-C20-C21</f>
        <v>130017</v>
      </c>
      <c r="D22" s="19" t="n">
        <f aca="false">C22-B22</f>
        <v>-18150</v>
      </c>
      <c r="E22" s="23" t="n">
        <f aca="false">IFERROR(D22/ABS(B22),0)</f>
        <v>-0.122496912267914</v>
      </c>
      <c r="F22" s="24" t="str">
        <f aca="false">IF(D22&gt;=0,"F","U")</f>
        <v>U</v>
      </c>
      <c r="H22" s="25" t="n">
        <f aca="false">H18-H20-H21</f>
        <v>1260503</v>
      </c>
      <c r="I22" s="25" t="n">
        <f aca="false">I18-I20-I21</f>
        <v>1121153</v>
      </c>
      <c r="J22" s="19" t="n">
        <f aca="false">I22-H22</f>
        <v>-139350</v>
      </c>
      <c r="K22" s="23" t="n">
        <f aca="false">IFERROR(J22/ABS(H22),0)</f>
        <v>-0.110551105392054</v>
      </c>
      <c r="L22" s="24" t="str">
        <f aca="false">IF(J22&gt;=0,"F","U")</f>
        <v>U</v>
      </c>
    </row>
    <row r="24" customFormat="false" ht="15" hidden="false" customHeight="false" outlineLevel="0" collapsed="false">
      <c r="A24" s="8" t="s">
        <v>87</v>
      </c>
    </row>
    <row r="25" customFormat="false" ht="30" hidden="false" customHeight="true" outlineLevel="0" collapsed="false">
      <c r="A25" s="28" t="s">
        <v>88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customFormat="false" ht="30" hidden="false" customHeight="true" outlineLevel="0" collapsed="false">
      <c r="A26" s="28" t="s">
        <v>89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customFormat="false" ht="30" hidden="false" customHeight="true" outlineLevel="0" collapsed="false">
      <c r="A27" s="28" t="s">
        <v>90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</sheetData>
  <mergeCells count="3">
    <mergeCell ref="A25:L25"/>
    <mergeCell ref="A26:L26"/>
    <mergeCell ref="A27:L27"/>
  </mergeCells>
  <conditionalFormatting sqref="F6:F22">
    <cfRule type="cellIs" priority="2" operator="equal" aboveAverage="0" equalAverage="0" bottom="0" percent="0" rank="0" text="" dxfId="0">
      <formula>"F"</formula>
    </cfRule>
    <cfRule type="cellIs" priority="3" operator="equal" aboveAverage="0" equalAverage="0" bottom="0" percent="0" rank="0" text="" dxfId="1">
      <formula>"U"</formula>
    </cfRule>
  </conditionalFormatting>
  <conditionalFormatting sqref="L6:L22">
    <cfRule type="cellIs" priority="4" operator="equal" aboveAverage="0" equalAverage="0" bottom="0" percent="0" rank="0" text="" dxfId="0">
      <formula>"F"</formula>
    </cfRule>
    <cfRule type="cellIs" priority="5" operator="equal" aboveAverage="0" equalAverage="0" bottom="0" percent="0" rank="0" text="" dxfId="1">
      <formula>"U"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3"/>
    <col collapsed="false" customWidth="true" hidden="false" outlineLevel="0" max="5" min="4" style="1" width="11"/>
    <col collapsed="false" customWidth="true" hidden="false" outlineLevel="0" max="9" min="6" style="1" width="13"/>
  </cols>
  <sheetData>
    <row r="1" customFormat="false" ht="17.35" hidden="false" customHeight="false" outlineLevel="0" collapsed="false">
      <c r="A1" s="13" t="s">
        <v>91</v>
      </c>
    </row>
    <row r="2" customFormat="false" ht="15" hidden="false" customHeight="false" outlineLevel="0" collapsed="false">
      <c r="A2" s="4" t="s">
        <v>92</v>
      </c>
    </row>
    <row r="4" customFormat="false" ht="23.85" hidden="false" customHeight="false" outlineLevel="0" collapsed="false">
      <c r="A4" s="6" t="s">
        <v>93</v>
      </c>
      <c r="B4" s="7" t="s">
        <v>94</v>
      </c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  <c r="H4" s="7" t="s">
        <v>100</v>
      </c>
      <c r="I4" s="7" t="s">
        <v>101</v>
      </c>
    </row>
    <row r="5" customFormat="false" ht="15" hidden="false" customHeight="false" outlineLevel="0" collapsed="false">
      <c r="A5" s="9" t="s">
        <v>77</v>
      </c>
      <c r="B5" s="21" t="n">
        <f aca="false">BvA!H6</f>
        <v>5647000</v>
      </c>
      <c r="C5" s="21" t="n">
        <f aca="false">BvA!I6</f>
        <v>4865000</v>
      </c>
      <c r="D5" s="23" t="n">
        <f aca="false">F5/B5</f>
        <v>0.25517974145564</v>
      </c>
      <c r="E5" s="23" t="n">
        <f aca="false">G5/C5</f>
        <v>0.236587872559096</v>
      </c>
      <c r="F5" s="21" t="n">
        <f aca="false">BvA!H6-BvA!H10</f>
        <v>1441000</v>
      </c>
      <c r="G5" s="21" t="n">
        <f aca="false">BvA!I6-BvA!I10</f>
        <v>1151000</v>
      </c>
      <c r="H5" s="22" t="n">
        <f aca="false">(C5-B5)*D5</f>
        <v>-199550.557818311</v>
      </c>
      <c r="I5" s="22" t="n">
        <f aca="false">(E5-D5)*C5</f>
        <v>-90449.4421816893</v>
      </c>
    </row>
    <row r="6" customFormat="false" ht="15" hidden="false" customHeight="false" outlineLevel="0" collapsed="false">
      <c r="A6" s="9" t="s">
        <v>78</v>
      </c>
      <c r="B6" s="21" t="n">
        <f aca="false">BvA!H7</f>
        <v>4942000</v>
      </c>
      <c r="C6" s="21" t="n">
        <f aca="false">BvA!I7</f>
        <v>5329000</v>
      </c>
      <c r="D6" s="23" t="n">
        <f aca="false">F6/B6</f>
        <v>0.300485633346823</v>
      </c>
      <c r="E6" s="23" t="n">
        <f aca="false">G6/C6</f>
        <v>0.306061174704447</v>
      </c>
      <c r="F6" s="21" t="n">
        <f aca="false">BvA!H7-BvA!H11</f>
        <v>1485000</v>
      </c>
      <c r="G6" s="21" t="n">
        <f aca="false">BvA!I7-BvA!I11</f>
        <v>1631000</v>
      </c>
      <c r="H6" s="22" t="n">
        <f aca="false">(C6-B6)*D6</f>
        <v>116287.940105221</v>
      </c>
      <c r="I6" s="22" t="n">
        <f aca="false">(E6-D6)*C6</f>
        <v>29712.0598947795</v>
      </c>
    </row>
    <row r="7" customFormat="false" ht="15" hidden="false" customHeight="false" outlineLevel="0" collapsed="false">
      <c r="A7" s="9" t="s">
        <v>79</v>
      </c>
      <c r="B7" s="21" t="n">
        <f aca="false">BvA!H8</f>
        <v>3529000</v>
      </c>
      <c r="C7" s="21" t="n">
        <f aca="false">BvA!I8</f>
        <v>3470000</v>
      </c>
      <c r="D7" s="23" t="n">
        <f aca="false">F7/B7</f>
        <v>0.272315103428733</v>
      </c>
      <c r="E7" s="23" t="n">
        <f aca="false">G7/C7</f>
        <v>0.270317002881844</v>
      </c>
      <c r="F7" s="21" t="n">
        <f aca="false">BvA!H8-BvA!H12</f>
        <v>961000</v>
      </c>
      <c r="G7" s="21" t="n">
        <f aca="false">BvA!I8-BvA!I12</f>
        <v>938000</v>
      </c>
      <c r="H7" s="22" t="n">
        <f aca="false">(C7-B7)*D7</f>
        <v>-16066.5911022953</v>
      </c>
      <c r="I7" s="22" t="n">
        <f aca="false">(E7-D7)*C7</f>
        <v>-6933.40889770457</v>
      </c>
    </row>
    <row r="8" customFormat="false" ht="15" hidden="false" customHeight="false" outlineLevel="0" collapsed="false">
      <c r="A8" s="8" t="s">
        <v>45</v>
      </c>
      <c r="B8" s="25" t="n">
        <f aca="false">SUM(B5:B7)</f>
        <v>14118000</v>
      </c>
      <c r="C8" s="25" t="n">
        <f aca="false">SUM(C5:C7)</f>
        <v>13664000</v>
      </c>
      <c r="D8" s="27" t="n">
        <f aca="false">F8/B8</f>
        <v>0.275322283609576</v>
      </c>
      <c r="E8" s="27" t="n">
        <f aca="false">G8/C8</f>
        <v>0.272248243559719</v>
      </c>
      <c r="F8" s="25" t="n">
        <f aca="false">SUM(F5:F7)</f>
        <v>3887000</v>
      </c>
      <c r="G8" s="25" t="n">
        <f aca="false">SUM(G5:G7)</f>
        <v>3720000</v>
      </c>
      <c r="H8" s="25" t="n">
        <f aca="false">SUM(H5:H7)</f>
        <v>-99329.2088153853</v>
      </c>
      <c r="I8" s="25" t="n">
        <f aca="false">SUM(I5:I7)</f>
        <v>-67670.7911846144</v>
      </c>
    </row>
    <row r="9" customFormat="false" ht="15" hidden="false" customHeight="false" outlineLevel="0" collapsed="false">
      <c r="A9" s="9" t="s">
        <v>102</v>
      </c>
      <c r="I9" s="29" t="n">
        <f aca="false">H8+I8-(G8-F8)</f>
        <v>0</v>
      </c>
    </row>
    <row r="11" customFormat="false" ht="15" hidden="false" customHeight="false" outlineLevel="0" collapsed="false">
      <c r="A11" s="6" t="s">
        <v>103</v>
      </c>
      <c r="B11" s="7" t="s">
        <v>104</v>
      </c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8" t="s">
        <v>105</v>
      </c>
      <c r="B12" s="19" t="n">
        <f aca="false">BvA!H18</f>
        <v>1931003</v>
      </c>
    </row>
    <row r="13" customFormat="false" ht="15" hidden="false" customHeight="false" outlineLevel="0" collapsed="false">
      <c r="A13" s="9" t="s">
        <v>106</v>
      </c>
      <c r="B13" s="22" t="n">
        <f aca="false">H8</f>
        <v>-99329.2088153853</v>
      </c>
    </row>
    <row r="14" customFormat="false" ht="15" hidden="false" customHeight="false" outlineLevel="0" collapsed="false">
      <c r="A14" s="9" t="s">
        <v>107</v>
      </c>
      <c r="B14" s="22" t="n">
        <f aca="false">I8</f>
        <v>-67670.7911846144</v>
      </c>
    </row>
    <row r="15" customFormat="false" ht="15" hidden="false" customHeight="false" outlineLevel="0" collapsed="false">
      <c r="A15" s="9" t="s">
        <v>55</v>
      </c>
      <c r="B15" s="21" t="n">
        <f aca="false">-BvA!J16</f>
        <v>-0</v>
      </c>
    </row>
    <row r="16" customFormat="false" ht="15" hidden="false" customHeight="false" outlineLevel="0" collapsed="false">
      <c r="A16" s="9" t="s">
        <v>56</v>
      </c>
      <c r="B16" s="21" t="n">
        <f aca="false">-BvA!J17</f>
        <v>14000</v>
      </c>
    </row>
    <row r="17" customFormat="false" ht="15" hidden="false" customHeight="false" outlineLevel="0" collapsed="false">
      <c r="A17" s="8" t="s">
        <v>108</v>
      </c>
      <c r="B17" s="25" t="n">
        <f aca="false">SUM(B12:B16)</f>
        <v>1778003</v>
      </c>
    </row>
    <row r="18" customFormat="false" ht="15" hidden="false" customHeight="false" outlineLevel="0" collapsed="false">
      <c r="A18" s="9" t="s">
        <v>109</v>
      </c>
      <c r="B18" s="30" t="n">
        <f aca="false">B17-BvA!I18</f>
        <v>0</v>
      </c>
    </row>
    <row r="20" customFormat="false" ht="15" hidden="false" customHeight="false" outlineLevel="0" collapsed="false">
      <c r="A20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  <col collapsed="false" customWidth="true" hidden="false" outlineLevel="0" max="7" min="7" style="1" width="9"/>
    <col collapsed="false" customWidth="true" hidden="false" outlineLevel="0" max="8" min="8" style="1" width="6"/>
  </cols>
  <sheetData>
    <row r="1" customFormat="false" ht="17.35" hidden="false" customHeight="false" outlineLevel="0" collapsed="false">
      <c r="A1" s="13" t="s">
        <v>111</v>
      </c>
    </row>
    <row r="2" customFormat="false" ht="15" hidden="false" customHeight="false" outlineLevel="0" collapsed="false">
      <c r="A2" s="4" t="s">
        <v>112</v>
      </c>
    </row>
    <row r="4" customFormat="false" ht="15" hidden="false" customHeight="false" outlineLevel="0" collapsed="false">
      <c r="A4" s="6" t="s">
        <v>31</v>
      </c>
      <c r="B4" s="7" t="s">
        <v>113</v>
      </c>
      <c r="C4" s="7" t="s">
        <v>114</v>
      </c>
      <c r="D4" s="7" t="s">
        <v>115</v>
      </c>
      <c r="E4" s="7" t="s">
        <v>116</v>
      </c>
      <c r="F4" s="7" t="s">
        <v>74</v>
      </c>
      <c r="G4" s="7" t="s">
        <v>75</v>
      </c>
      <c r="H4" s="7" t="s">
        <v>76</v>
      </c>
    </row>
    <row r="5" customFormat="false" ht="15" hidden="false" customHeight="false" outlineLevel="0" collapsed="false">
      <c r="A5" s="8" t="s">
        <v>48</v>
      </c>
      <c r="B5" s="21" t="n">
        <f aca="false">SUM(Monthly_Data!C6:N6)+SUM(Monthly_Data!C7:N7)+SUM(Monthly_Data!C8:N8)</f>
        <v>19000000</v>
      </c>
      <c r="C5" s="21" t="n">
        <f aca="false">SUM(Monthly_Data!C18:K18)+SUM(Monthly_Data!C19:K19)+SUM(Monthly_Data!C20:K20)</f>
        <v>13664000</v>
      </c>
      <c r="D5" s="21" t="n">
        <f aca="false">SUM(Monthly_Data!L18:N18)+SUM(Monthly_Data!L19:N19)+SUM(Monthly_Data!L20:N20)</f>
        <v>4786000</v>
      </c>
      <c r="E5" s="31" t="n">
        <f aca="false">C5+D5</f>
        <v>18450000</v>
      </c>
      <c r="F5" s="22" t="n">
        <f aca="false">E5-B5</f>
        <v>-550000</v>
      </c>
      <c r="G5" s="23" t="n">
        <f aca="false">IFERROR(F5/ABS(B5),0)</f>
        <v>-0.0289473684210526</v>
      </c>
      <c r="H5" s="24" t="str">
        <f aca="false">IF(F5&gt;=0,"F","U")</f>
        <v>U</v>
      </c>
    </row>
    <row r="6" customFormat="false" ht="15" hidden="false" customHeight="false" outlineLevel="0" collapsed="false">
      <c r="A6" s="8" t="s">
        <v>117</v>
      </c>
      <c r="B6" s="21" t="n">
        <f aca="false">SUM(Monthly_Data!C9:N9)+SUM(Monthly_Data!C10:N10)+SUM(Monthly_Data!C11:N11)</f>
        <v>13771000</v>
      </c>
      <c r="C6" s="21" t="n">
        <f aca="false">SUM(Monthly_Data!C21:K21)+SUM(Monthly_Data!C22:K22)+SUM(Monthly_Data!C23:K23)</f>
        <v>9944000</v>
      </c>
      <c r="D6" s="21" t="n">
        <f aca="false">SUM(Monthly_Data!L21:N21)+SUM(Monthly_Data!L22:N22)+SUM(Monthly_Data!L23:N23)</f>
        <v>3524500</v>
      </c>
      <c r="E6" s="19" t="n">
        <f aca="false">C6+D6</f>
        <v>13468500</v>
      </c>
      <c r="F6" s="22" t="n">
        <f aca="false">E6-B6</f>
        <v>-302500</v>
      </c>
      <c r="G6" s="23" t="n">
        <f aca="false">IFERROR(F6/ABS(B6),0)</f>
        <v>-0.0219664512381091</v>
      </c>
      <c r="H6" s="24" t="str">
        <f aca="false">IF(F6&lt;=0,"F","U")</f>
        <v>F</v>
      </c>
    </row>
    <row r="7" customFormat="false" ht="15" hidden="false" customHeight="false" outlineLevel="0" collapsed="false">
      <c r="A7" s="8" t="s">
        <v>82</v>
      </c>
      <c r="B7" s="25" t="n">
        <f aca="false">B5-B6</f>
        <v>5229000</v>
      </c>
      <c r="C7" s="25" t="n">
        <f aca="false">C5-C6</f>
        <v>3720000</v>
      </c>
      <c r="D7" s="25" t="n">
        <f aca="false">D5-D6</f>
        <v>1261500</v>
      </c>
      <c r="E7" s="19" t="n">
        <f aca="false">C7+D7</f>
        <v>4981500</v>
      </c>
      <c r="F7" s="22" t="n">
        <f aca="false">E7-B7</f>
        <v>-247500</v>
      </c>
      <c r="G7" s="23" t="n">
        <f aca="false">IFERROR(F7/ABS(B7),0)</f>
        <v>-0.0473321858864028</v>
      </c>
      <c r="H7" s="24" t="str">
        <f aca="false">IF(F7&gt;=0,"F","U")</f>
        <v>U</v>
      </c>
    </row>
    <row r="8" customFormat="false" ht="15" hidden="false" customHeight="false" outlineLevel="0" collapsed="false">
      <c r="A8" s="8" t="s">
        <v>83</v>
      </c>
      <c r="B8" s="27" t="n">
        <f aca="false">B7/B5</f>
        <v>0.275210526315789</v>
      </c>
      <c r="C8" s="27" t="n">
        <f aca="false">C7/C5</f>
        <v>0.272248243559719</v>
      </c>
      <c r="D8" s="27" t="n">
        <f aca="false">D7/D5</f>
        <v>0.263581278729628</v>
      </c>
      <c r="E8" s="27" t="n">
        <f aca="false">E7/E5</f>
        <v>0.27</v>
      </c>
      <c r="F8" s="23" t="n">
        <f aca="false">E8-B8</f>
        <v>-0.00521052631578944</v>
      </c>
      <c r="H8" s="24" t="str">
        <f aca="false">IF(F8&gt;=0,"F","U")</f>
        <v>U</v>
      </c>
    </row>
    <row r="9" customFormat="false" ht="15" hidden="false" customHeight="false" outlineLevel="0" collapsed="false">
      <c r="A9" s="16" t="s">
        <v>55</v>
      </c>
      <c r="B9" s="21" t="n">
        <f aca="false">SUM(Monthly_Data!C12:N12)</f>
        <v>460000</v>
      </c>
      <c r="C9" s="21" t="n">
        <f aca="false">SUM(Monthly_Data!C24:K24)</f>
        <v>344997</v>
      </c>
      <c r="D9" s="21" t="n">
        <f aca="false">SUM(Monthly_Data!L24:N24)</f>
        <v>115000</v>
      </c>
      <c r="E9" s="19" t="n">
        <f aca="false">C9+D9</f>
        <v>459997</v>
      </c>
      <c r="F9" s="22" t="n">
        <f aca="false">E9-B9</f>
        <v>-3</v>
      </c>
      <c r="G9" s="23" t="n">
        <f aca="false">IFERROR(F9/ABS(B9),0)</f>
        <v>-6.52173913043478E-006</v>
      </c>
      <c r="H9" s="24" t="str">
        <f aca="false">IF(F9&lt;=0,"F","U")</f>
        <v>F</v>
      </c>
    </row>
    <row r="10" customFormat="false" ht="15" hidden="false" customHeight="false" outlineLevel="0" collapsed="false">
      <c r="A10" s="16" t="s">
        <v>56</v>
      </c>
      <c r="B10" s="21" t="n">
        <f aca="false">SUM(Monthly_Data!C13:N13)</f>
        <v>2150000</v>
      </c>
      <c r="C10" s="21" t="n">
        <f aca="false">SUM(Monthly_Data!C25:K25)</f>
        <v>1597000</v>
      </c>
      <c r="D10" s="21" t="n">
        <f aca="false">SUM(Monthly_Data!L25:N25)</f>
        <v>523000</v>
      </c>
      <c r="E10" s="19" t="n">
        <f aca="false">C10+D10</f>
        <v>2120000</v>
      </c>
      <c r="F10" s="22" t="n">
        <f aca="false">E10-B10</f>
        <v>-30000</v>
      </c>
      <c r="G10" s="23" t="n">
        <f aca="false">IFERROR(F10/ABS(B10),0)</f>
        <v>-0.013953488372093</v>
      </c>
      <c r="H10" s="24" t="str">
        <f aca="false">IF(F10&lt;=0,"F","U")</f>
        <v>F</v>
      </c>
    </row>
    <row r="11" customFormat="false" ht="15" hidden="false" customHeight="false" outlineLevel="0" collapsed="false">
      <c r="A11" s="8" t="s">
        <v>84</v>
      </c>
      <c r="B11" s="25" t="n">
        <f aca="false">B7-B9-B10</f>
        <v>2619000</v>
      </c>
      <c r="C11" s="25" t="n">
        <f aca="false">C7-C9-C10</f>
        <v>1778003</v>
      </c>
      <c r="D11" s="25" t="n">
        <f aca="false">D7-D9-D10</f>
        <v>623500</v>
      </c>
      <c r="E11" s="31" t="n">
        <f aca="false">C11+D11</f>
        <v>2401503</v>
      </c>
      <c r="F11" s="22" t="n">
        <f aca="false">E11-B11</f>
        <v>-217497</v>
      </c>
      <c r="G11" s="23" t="n">
        <f aca="false">IFERROR(F11/ABS(B11),0)</f>
        <v>-0.0830458190148912</v>
      </c>
      <c r="H11" s="24" t="str">
        <f aca="false">IF(F11&gt;=0,"F","U")</f>
        <v>U</v>
      </c>
    </row>
    <row r="12" customFormat="false" ht="15" hidden="false" customHeight="false" outlineLevel="0" collapsed="false">
      <c r="A12" s="16" t="s">
        <v>57</v>
      </c>
      <c r="B12" s="21" t="n">
        <f aca="false">SUM(Monthly_Data!C14:N14)</f>
        <v>720000</v>
      </c>
      <c r="C12" s="21" t="n">
        <f aca="false">SUM(Monthly_Data!C26:K26)</f>
        <v>529000</v>
      </c>
      <c r="D12" s="21" t="n">
        <f aca="false">SUM(Monthly_Data!L26:N26)</f>
        <v>178500</v>
      </c>
      <c r="E12" s="19" t="n">
        <f aca="false">C12+D12</f>
        <v>707500</v>
      </c>
      <c r="F12" s="22" t="n">
        <f aca="false">E12-B12</f>
        <v>-12500</v>
      </c>
      <c r="G12" s="23" t="n">
        <f aca="false">IFERROR(F12/ABS(B12),0)</f>
        <v>-0.0173611111111111</v>
      </c>
      <c r="H12" s="24" t="str">
        <f aca="false">IF(F12&lt;=0,"F","U")</f>
        <v>F</v>
      </c>
    </row>
    <row r="13" customFormat="false" ht="15" hidden="false" customHeight="false" outlineLevel="0" collapsed="false">
      <c r="A13" s="16" t="s">
        <v>58</v>
      </c>
      <c r="B13" s="21" t="n">
        <f aca="false">SUM(Monthly_Data!C15:N15)</f>
        <v>174000</v>
      </c>
      <c r="C13" s="21" t="n">
        <f aca="false">SUM(Monthly_Data!C27:K27)</f>
        <v>127850</v>
      </c>
      <c r="D13" s="21" t="n">
        <f aca="false">SUM(Monthly_Data!L27:N27)</f>
        <v>42600</v>
      </c>
      <c r="E13" s="19" t="n">
        <f aca="false">C13+D13</f>
        <v>170450</v>
      </c>
      <c r="F13" s="22" t="n">
        <f aca="false">E13-B13</f>
        <v>-3550</v>
      </c>
      <c r="G13" s="23" t="n">
        <f aca="false">IFERROR(F13/ABS(B13),0)</f>
        <v>-0.0204022988505747</v>
      </c>
      <c r="H13" s="24" t="str">
        <f aca="false">IF(F13&lt;=0,"F","U")</f>
        <v>F</v>
      </c>
    </row>
    <row r="14" customFormat="false" ht="15" hidden="false" customHeight="false" outlineLevel="0" collapsed="false">
      <c r="A14" s="8" t="s">
        <v>86</v>
      </c>
      <c r="B14" s="25" t="n">
        <f aca="false">B11-B12-B13</f>
        <v>1725000</v>
      </c>
      <c r="C14" s="25" t="n">
        <f aca="false">C11-C12-C13</f>
        <v>1121153</v>
      </c>
      <c r="D14" s="25" t="n">
        <f aca="false">D11-D12-D13</f>
        <v>402400</v>
      </c>
      <c r="E14" s="19" t="n">
        <f aca="false">C14+D14</f>
        <v>1523553</v>
      </c>
      <c r="F14" s="22" t="n">
        <f aca="false">E14-B14</f>
        <v>-201447</v>
      </c>
      <c r="G14" s="23" t="n">
        <f aca="false">IFERROR(F14/ABS(B14),0)</f>
        <v>-0.116780869565217</v>
      </c>
      <c r="H14" s="24" t="str">
        <f aca="false">IF(F14&gt;=0,"F","U")</f>
        <v>U</v>
      </c>
    </row>
    <row r="16" customFormat="false" ht="15" hidden="false" customHeight="false" outlineLevel="0" collapsed="false">
      <c r="A16" s="8" t="s">
        <v>118</v>
      </c>
      <c r="E16" s="32" t="n">
        <f aca="false">E5/17600000-1</f>
        <v>0.0482954545454546</v>
      </c>
    </row>
    <row r="17" customFormat="false" ht="15" hidden="false" customHeight="false" outlineLevel="0" collapsed="false">
      <c r="A17" s="4" t="s">
        <v>119</v>
      </c>
    </row>
  </sheetData>
  <conditionalFormatting sqref="H5:H14">
    <cfRule type="cellIs" priority="2" operator="equal" aboveAverage="0" equalAverage="0" bottom="0" percent="0" rank="0" text="" dxfId="0">
      <formula>"F"</formula>
    </cfRule>
    <cfRule type="cellIs" priority="3" operator="equal" aboveAverage="0" equalAverage="0" bottom="0" percent="0" rank="0" text="" dxfId="1">
      <formula>"U"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56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20"/>
  </cols>
  <sheetData>
    <row r="1" customFormat="false" ht="17.35" hidden="false" customHeight="false" outlineLevel="0" collapsed="false">
      <c r="A1" s="13" t="s">
        <v>120</v>
      </c>
    </row>
    <row r="2" customFormat="false" ht="15" hidden="false" customHeight="false" outlineLevel="0" collapsed="false">
      <c r="A2" s="4" t="s">
        <v>121</v>
      </c>
    </row>
    <row r="4" customFormat="false" ht="15" hidden="false" customHeight="false" outlineLevel="0" collapsed="false">
      <c r="A4" s="6" t="s">
        <v>122</v>
      </c>
      <c r="B4" s="7" t="s">
        <v>123</v>
      </c>
      <c r="C4" s="7" t="s">
        <v>124</v>
      </c>
      <c r="D4" s="7" t="s">
        <v>104</v>
      </c>
      <c r="E4" s="7" t="s">
        <v>125</v>
      </c>
      <c r="F4" s="7" t="s">
        <v>126</v>
      </c>
    </row>
    <row r="5" customFormat="false" ht="15" hidden="false" customHeight="false" outlineLevel="0" collapsed="false">
      <c r="A5" s="33" t="n">
        <v>46266</v>
      </c>
      <c r="B5" s="9" t="s">
        <v>127</v>
      </c>
      <c r="C5" s="9" t="s">
        <v>128</v>
      </c>
      <c r="D5" s="34" t="n">
        <v>-42000</v>
      </c>
      <c r="E5" s="35" t="str">
        <f aca="false">IF(COUNTIFS(Bank_Stmt!$B$5:$B$70,B5,Bank_Stmt!$D$5:$D$70,D5)&gt;0,"Matched","Unmatched")</f>
        <v>Matched</v>
      </c>
    </row>
    <row r="6" customFormat="false" ht="15" hidden="false" customHeight="false" outlineLevel="0" collapsed="false">
      <c r="A6" s="33" t="n">
        <v>46266</v>
      </c>
      <c r="B6" s="9" t="s">
        <v>129</v>
      </c>
      <c r="C6" s="9" t="s">
        <v>130</v>
      </c>
      <c r="D6" s="34" t="n">
        <v>-5290</v>
      </c>
      <c r="E6" s="35" t="str">
        <f aca="false">IF(COUNTIFS(Bank_Stmt!$B$5:$B$70,B6,Bank_Stmt!$D$5:$D$70,D6)&gt;0,"Matched","Unmatched")</f>
        <v>Matched</v>
      </c>
    </row>
    <row r="7" customFormat="false" ht="15" hidden="false" customHeight="false" outlineLevel="0" collapsed="false">
      <c r="A7" s="33" t="n">
        <v>46266</v>
      </c>
      <c r="B7" s="9" t="s">
        <v>131</v>
      </c>
      <c r="C7" s="9" t="s">
        <v>132</v>
      </c>
      <c r="D7" s="34" t="n">
        <v>47181.59</v>
      </c>
      <c r="E7" s="35" t="str">
        <f aca="false">IF(COUNTIFS(Bank_Stmt!$B$5:$B$70,B7,Bank_Stmt!$D$5:$D$70,D7)&gt;0,"Matched","Unmatched")</f>
        <v>Matched</v>
      </c>
    </row>
    <row r="8" customFormat="false" ht="15" hidden="false" customHeight="false" outlineLevel="0" collapsed="false">
      <c r="A8" s="33" t="n">
        <v>46267</v>
      </c>
      <c r="B8" s="9" t="s">
        <v>133</v>
      </c>
      <c r="C8" s="9" t="s">
        <v>134</v>
      </c>
      <c r="D8" s="34" t="n">
        <v>68007.59</v>
      </c>
      <c r="E8" s="35" t="str">
        <f aca="false">IF(COUNTIFS(Bank_Stmt!$B$5:$B$70,B8,Bank_Stmt!$D$5:$D$70,D8)&gt;0,"Matched","Unmatched")</f>
        <v>Matched</v>
      </c>
    </row>
    <row r="9" customFormat="false" ht="15" hidden="false" customHeight="false" outlineLevel="0" collapsed="false">
      <c r="A9" s="33" t="n">
        <v>46268</v>
      </c>
      <c r="B9" s="9" t="s">
        <v>135</v>
      </c>
      <c r="C9" s="9" t="s">
        <v>136</v>
      </c>
      <c r="D9" s="34" t="n">
        <v>-11250</v>
      </c>
      <c r="E9" s="35" t="str">
        <f aca="false">IF(COUNTIFS(Bank_Stmt!$B$5:$B$70,B9,Bank_Stmt!$D$5:$D$70,D9)&gt;0,"Matched","Unmatched")</f>
        <v>Matched</v>
      </c>
    </row>
    <row r="10" customFormat="false" ht="15" hidden="false" customHeight="false" outlineLevel="0" collapsed="false">
      <c r="A10" s="33" t="n">
        <v>46268</v>
      </c>
      <c r="B10" s="9" t="s">
        <v>137</v>
      </c>
      <c r="C10" s="9" t="s">
        <v>138</v>
      </c>
      <c r="D10" s="34" t="n">
        <v>56156.95</v>
      </c>
      <c r="E10" s="35" t="str">
        <f aca="false">IF(COUNTIFS(Bank_Stmt!$B$5:$B$70,B10,Bank_Stmt!$D$5:$D$70,D10)&gt;0,"Matched","Unmatched")</f>
        <v>Matched</v>
      </c>
    </row>
    <row r="11" customFormat="false" ht="15" hidden="false" customHeight="false" outlineLevel="0" collapsed="false">
      <c r="A11" s="33" t="n">
        <v>46269</v>
      </c>
      <c r="B11" s="9" t="s">
        <v>139</v>
      </c>
      <c r="C11" s="9" t="s">
        <v>140</v>
      </c>
      <c r="D11" s="34" t="n">
        <v>-148600</v>
      </c>
      <c r="E11" s="35" t="str">
        <f aca="false">IF(COUNTIFS(Bank_Stmt!$B$5:$B$70,B11,Bank_Stmt!$D$5:$D$70,D11)&gt;0,"Matched","Unmatched")</f>
        <v>Matched</v>
      </c>
    </row>
    <row r="12" customFormat="false" ht="15" hidden="false" customHeight="false" outlineLevel="0" collapsed="false">
      <c r="A12" s="33" t="n">
        <v>46269</v>
      </c>
      <c r="B12" s="9" t="s">
        <v>141</v>
      </c>
      <c r="C12" s="9" t="s">
        <v>142</v>
      </c>
      <c r="D12" s="34" t="n">
        <v>-8930.4</v>
      </c>
      <c r="E12" s="35" t="str">
        <f aca="false">IF(COUNTIFS(Bank_Stmt!$B$5:$B$70,B12,Bank_Stmt!$D$5:$D$70,D12)&gt;0,"Matched","Unmatched")</f>
        <v>Matched</v>
      </c>
    </row>
    <row r="13" customFormat="false" ht="15" hidden="false" customHeight="false" outlineLevel="0" collapsed="false">
      <c r="A13" s="33" t="n">
        <v>46269</v>
      </c>
      <c r="B13" s="9" t="s">
        <v>143</v>
      </c>
      <c r="C13" s="9" t="s">
        <v>144</v>
      </c>
      <c r="D13" s="34" t="n">
        <v>72066.56</v>
      </c>
      <c r="E13" s="35" t="str">
        <f aca="false">IF(COUNTIFS(Bank_Stmt!$B$5:$B$70,B13,Bank_Stmt!$D$5:$D$70,D13)&gt;0,"Matched","Unmatched")</f>
        <v>Matched</v>
      </c>
    </row>
    <row r="14" customFormat="false" ht="15" hidden="false" customHeight="false" outlineLevel="0" collapsed="false">
      <c r="A14" s="33" t="n">
        <v>46270</v>
      </c>
      <c r="B14" s="9" t="s">
        <v>145</v>
      </c>
      <c r="C14" s="9" t="s">
        <v>146</v>
      </c>
      <c r="D14" s="34" t="n">
        <v>-23410</v>
      </c>
      <c r="E14" s="35" t="str">
        <f aca="false">IF(COUNTIFS(Bank_Stmt!$B$5:$B$70,B14,Bank_Stmt!$D$5:$D$70,D14)&gt;0,"Matched","Unmatched")</f>
        <v>Matched</v>
      </c>
    </row>
    <row r="15" customFormat="false" ht="15" hidden="false" customHeight="false" outlineLevel="0" collapsed="false">
      <c r="A15" s="33" t="n">
        <v>46271</v>
      </c>
      <c r="B15" s="9" t="s">
        <v>147</v>
      </c>
      <c r="C15" s="9" t="s">
        <v>148</v>
      </c>
      <c r="D15" s="34" t="n">
        <v>-4120.75</v>
      </c>
      <c r="E15" s="35" t="str">
        <f aca="false">IF(COUNTIFS(Bank_Stmt!$B$5:$B$70,B15,Bank_Stmt!$D$5:$D$70,D15)&gt;0,"Matched","Unmatched")</f>
        <v>Matched</v>
      </c>
    </row>
    <row r="16" customFormat="false" ht="15" hidden="false" customHeight="false" outlineLevel="0" collapsed="false">
      <c r="A16" s="33" t="n">
        <v>46272</v>
      </c>
      <c r="B16" s="9" t="s">
        <v>149</v>
      </c>
      <c r="C16" s="9" t="s">
        <v>150</v>
      </c>
      <c r="D16" s="34" t="n">
        <v>-15600</v>
      </c>
      <c r="E16" s="35" t="str">
        <f aca="false">IF(COUNTIFS(Bank_Stmt!$B$5:$B$70,B16,Bank_Stmt!$D$5:$D$70,D16)&gt;0,"Matched","Unmatched")</f>
        <v>Matched</v>
      </c>
    </row>
    <row r="17" customFormat="false" ht="15" hidden="false" customHeight="false" outlineLevel="0" collapsed="false">
      <c r="A17" s="33" t="n">
        <v>46273</v>
      </c>
      <c r="B17" s="9" t="s">
        <v>151</v>
      </c>
      <c r="C17" s="9" t="s">
        <v>152</v>
      </c>
      <c r="D17" s="34" t="n">
        <v>-9875</v>
      </c>
      <c r="E17" s="35" t="str">
        <f aca="false">IF(COUNTIFS(Bank_Stmt!$B$5:$B$70,B17,Bank_Stmt!$D$5:$D$70,D17)&gt;0,"Matched","Unmatched")</f>
        <v>Matched</v>
      </c>
    </row>
    <row r="18" customFormat="false" ht="15" hidden="false" customHeight="false" outlineLevel="0" collapsed="false">
      <c r="A18" s="33" t="n">
        <v>46273</v>
      </c>
      <c r="B18" s="9" t="s">
        <v>153</v>
      </c>
      <c r="C18" s="9" t="s">
        <v>154</v>
      </c>
      <c r="D18" s="34" t="n">
        <v>73548.98</v>
      </c>
      <c r="E18" s="35" t="str">
        <f aca="false">IF(COUNTIFS(Bank_Stmt!$B$5:$B$70,B18,Bank_Stmt!$D$5:$D$70,D18)&gt;0,"Matched","Unmatched")</f>
        <v>Matched</v>
      </c>
    </row>
    <row r="19" customFormat="false" ht="15" hidden="false" customHeight="false" outlineLevel="0" collapsed="false">
      <c r="A19" s="33" t="n">
        <v>46274</v>
      </c>
      <c r="B19" s="9" t="s">
        <v>155</v>
      </c>
      <c r="C19" s="9" t="s">
        <v>156</v>
      </c>
      <c r="D19" s="34" t="n">
        <v>-31200</v>
      </c>
      <c r="E19" s="35" t="str">
        <f aca="false">IF(COUNTIFS(Bank_Stmt!$B$5:$B$70,B19,Bank_Stmt!$D$5:$D$70,D19)&gt;0,"Matched","Unmatched")</f>
        <v>Matched</v>
      </c>
    </row>
    <row r="20" customFormat="false" ht="15" hidden="false" customHeight="false" outlineLevel="0" collapsed="false">
      <c r="A20" s="33" t="n">
        <v>46274</v>
      </c>
      <c r="B20" s="9" t="s">
        <v>157</v>
      </c>
      <c r="C20" s="9" t="s">
        <v>158</v>
      </c>
      <c r="D20" s="34" t="n">
        <v>35455.96</v>
      </c>
      <c r="E20" s="35" t="str">
        <f aca="false">IF(COUNTIFS(Bank_Stmt!$B$5:$B$70,B20,Bank_Stmt!$D$5:$D$70,D20)&gt;0,"Matched","Unmatched")</f>
        <v>Matched</v>
      </c>
    </row>
    <row r="21" customFormat="false" ht="15" hidden="false" customHeight="false" outlineLevel="0" collapsed="false">
      <c r="A21" s="33" t="n">
        <v>46275</v>
      </c>
      <c r="B21" s="9" t="s">
        <v>159</v>
      </c>
      <c r="C21" s="9" t="s">
        <v>160</v>
      </c>
      <c r="D21" s="34" t="n">
        <v>-18420</v>
      </c>
      <c r="E21" s="35" t="str">
        <f aca="false">IF(COUNTIFS(Bank_Stmt!$B$5:$B$70,B21,Bank_Stmt!$D$5:$D$70,D21)&gt;0,"Matched","Unmatched")</f>
        <v>Matched</v>
      </c>
    </row>
    <row r="22" customFormat="false" ht="15" hidden="false" customHeight="false" outlineLevel="0" collapsed="false">
      <c r="A22" s="33" t="n">
        <v>46275</v>
      </c>
      <c r="B22" s="9" t="s">
        <v>161</v>
      </c>
      <c r="C22" s="9" t="s">
        <v>162</v>
      </c>
      <c r="D22" s="34" t="n">
        <v>-4850</v>
      </c>
      <c r="E22" s="35" t="str">
        <f aca="false">IF(COUNTIFS(Bank_Stmt!$B$5:$B$70,B22,Bank_Stmt!$D$5:$D$70,D22)&gt;0,"Matched","Unmatched")</f>
        <v>Unmatched</v>
      </c>
      <c r="F22" s="9" t="s">
        <v>163</v>
      </c>
    </row>
    <row r="23" customFormat="false" ht="15" hidden="false" customHeight="false" outlineLevel="0" collapsed="false">
      <c r="A23" s="33" t="n">
        <v>46275</v>
      </c>
      <c r="B23" s="9" t="s">
        <v>164</v>
      </c>
      <c r="C23" s="9" t="s">
        <v>165</v>
      </c>
      <c r="D23" s="34" t="n">
        <v>31895.42</v>
      </c>
      <c r="E23" s="35" t="str">
        <f aca="false">IF(COUNTIFS(Bank_Stmt!$B$5:$B$70,B23,Bank_Stmt!$D$5:$D$70,D23)&gt;0,"Matched","Unmatched")</f>
        <v>Matched</v>
      </c>
    </row>
    <row r="24" customFormat="false" ht="15" hidden="false" customHeight="false" outlineLevel="0" collapsed="false">
      <c r="A24" s="33" t="n">
        <v>46276</v>
      </c>
      <c r="B24" s="9" t="s">
        <v>166</v>
      </c>
      <c r="C24" s="9" t="s">
        <v>167</v>
      </c>
      <c r="D24" s="34" t="n">
        <v>-6240</v>
      </c>
      <c r="E24" s="35" t="str">
        <f aca="false">IF(COUNTIFS(Bank_Stmt!$B$5:$B$70,B24,Bank_Stmt!$D$5:$D$70,D24)&gt;0,"Matched","Unmatched")</f>
        <v>Matched</v>
      </c>
    </row>
    <row r="25" customFormat="false" ht="15" hidden="false" customHeight="false" outlineLevel="0" collapsed="false">
      <c r="A25" s="33" t="n">
        <v>46276</v>
      </c>
      <c r="B25" s="9" t="s">
        <v>168</v>
      </c>
      <c r="C25" s="9" t="s">
        <v>169</v>
      </c>
      <c r="D25" s="34" t="n">
        <v>87947.9</v>
      </c>
      <c r="E25" s="35" t="str">
        <f aca="false">IF(COUNTIFS(Bank_Stmt!$B$5:$B$70,B25,Bank_Stmt!$D$5:$D$70,D25)&gt;0,"Matched","Unmatched")</f>
        <v>Matched</v>
      </c>
    </row>
    <row r="26" customFormat="false" ht="15" hidden="false" customHeight="false" outlineLevel="0" collapsed="false">
      <c r="A26" s="33" t="n">
        <v>46276</v>
      </c>
      <c r="B26" s="9" t="s">
        <v>170</v>
      </c>
      <c r="C26" s="9" t="s">
        <v>171</v>
      </c>
      <c r="D26" s="34" t="n">
        <v>-249850</v>
      </c>
      <c r="E26" s="35" t="str">
        <f aca="false">IF(COUNTIFS(Bank_Stmt!$B$5:$B$70,B26,Bank_Stmt!$D$5:$D$70,D26)&gt;0,"Matched","Unmatched")</f>
        <v>Matched</v>
      </c>
    </row>
    <row r="27" customFormat="false" ht="15" hidden="false" customHeight="false" outlineLevel="0" collapsed="false">
      <c r="A27" s="33" t="n">
        <v>46277</v>
      </c>
      <c r="B27" s="9" t="s">
        <v>172</v>
      </c>
      <c r="C27" s="9" t="s">
        <v>173</v>
      </c>
      <c r="D27" s="34" t="n">
        <v>-12880</v>
      </c>
      <c r="E27" s="35" t="str">
        <f aca="false">IF(COUNTIFS(Bank_Stmt!$B$5:$B$70,B27,Bank_Stmt!$D$5:$D$70,D27)&gt;0,"Matched","Unmatched")</f>
        <v>Matched</v>
      </c>
    </row>
    <row r="28" customFormat="false" ht="15" hidden="false" customHeight="false" outlineLevel="0" collapsed="false">
      <c r="A28" s="33" t="n">
        <v>46278</v>
      </c>
      <c r="B28" s="9" t="s">
        <v>174</v>
      </c>
      <c r="C28" s="9" t="s">
        <v>175</v>
      </c>
      <c r="D28" s="34" t="n">
        <v>-18990.25</v>
      </c>
      <c r="E28" s="35" t="str">
        <f aca="false">IF(COUNTIFS(Bank_Stmt!$B$5:$B$70,B28,Bank_Stmt!$D$5:$D$70,D28)&gt;0,"Matched","Unmatched")</f>
        <v>Matched</v>
      </c>
    </row>
    <row r="29" customFormat="false" ht="15" hidden="false" customHeight="false" outlineLevel="0" collapsed="false">
      <c r="A29" s="33" t="n">
        <v>46279</v>
      </c>
      <c r="B29" s="9" t="s">
        <v>176</v>
      </c>
      <c r="C29" s="9" t="s">
        <v>140</v>
      </c>
      <c r="D29" s="34" t="n">
        <v>-162300</v>
      </c>
      <c r="E29" s="35" t="str">
        <f aca="false">IF(COUNTIFS(Bank_Stmt!$B$5:$B$70,B29,Bank_Stmt!$D$5:$D$70,D29)&gt;0,"Matched","Unmatched")</f>
        <v>Matched</v>
      </c>
    </row>
    <row r="30" customFormat="false" ht="15" hidden="false" customHeight="false" outlineLevel="0" collapsed="false">
      <c r="A30" s="33" t="n">
        <v>46279</v>
      </c>
      <c r="B30" s="9" t="s">
        <v>177</v>
      </c>
      <c r="C30" s="9" t="s">
        <v>178</v>
      </c>
      <c r="D30" s="34" t="n">
        <v>-7450</v>
      </c>
      <c r="E30" s="35" t="str">
        <f aca="false">IF(COUNTIFS(Bank_Stmt!$B$5:$B$70,B30,Bank_Stmt!$D$5:$D$70,D30)&gt;0,"Matched","Unmatched")</f>
        <v>Matched</v>
      </c>
    </row>
    <row r="31" customFormat="false" ht="15" hidden="false" customHeight="false" outlineLevel="0" collapsed="false">
      <c r="A31" s="33" t="n">
        <v>46279</v>
      </c>
      <c r="B31" s="9" t="s">
        <v>179</v>
      </c>
      <c r="C31" s="9" t="s">
        <v>180</v>
      </c>
      <c r="D31" s="34" t="n">
        <v>48636.07</v>
      </c>
      <c r="E31" s="35" t="str">
        <f aca="false">IF(COUNTIFS(Bank_Stmt!$B$5:$B$70,B31,Bank_Stmt!$D$5:$D$70,D31)&gt;0,"Matched","Unmatched")</f>
        <v>Matched</v>
      </c>
    </row>
    <row r="32" customFormat="false" ht="15" hidden="false" customHeight="false" outlineLevel="0" collapsed="false">
      <c r="A32" s="33" t="n">
        <v>46280</v>
      </c>
      <c r="B32" s="9" t="s">
        <v>181</v>
      </c>
      <c r="C32" s="9" t="s">
        <v>182</v>
      </c>
      <c r="D32" s="34" t="n">
        <v>-54000</v>
      </c>
      <c r="E32" s="35" t="str">
        <f aca="false">IF(COUNTIFS(Bank_Stmt!$B$5:$B$70,B32,Bank_Stmt!$D$5:$D$70,D32)&gt;0,"Matched","Unmatched")</f>
        <v>Matched</v>
      </c>
    </row>
    <row r="33" customFormat="false" ht="15" hidden="false" customHeight="false" outlineLevel="0" collapsed="false">
      <c r="A33" s="33" t="n">
        <v>46280</v>
      </c>
      <c r="B33" s="9" t="s">
        <v>183</v>
      </c>
      <c r="C33" s="9" t="s">
        <v>184</v>
      </c>
      <c r="D33" s="34" t="n">
        <v>-26300</v>
      </c>
      <c r="E33" s="35" t="str">
        <f aca="false">IF(COUNTIFS(Bank_Stmt!$B$5:$B$70,B33,Bank_Stmt!$D$5:$D$70,D33)&gt;0,"Matched","Unmatched")</f>
        <v>Matched</v>
      </c>
    </row>
    <row r="34" customFormat="false" ht="15" hidden="false" customHeight="false" outlineLevel="0" collapsed="false">
      <c r="A34" s="33" t="n">
        <v>46280</v>
      </c>
      <c r="B34" s="9" t="s">
        <v>185</v>
      </c>
      <c r="C34" s="9" t="s">
        <v>186</v>
      </c>
      <c r="D34" s="34" t="n">
        <v>46934.51</v>
      </c>
      <c r="E34" s="35" t="str">
        <f aca="false">IF(COUNTIFS(Bank_Stmt!$B$5:$B$70,B34,Bank_Stmt!$D$5:$D$70,D34)&gt;0,"Matched","Unmatched")</f>
        <v>Matched</v>
      </c>
    </row>
    <row r="35" customFormat="false" ht="15" hidden="false" customHeight="false" outlineLevel="0" collapsed="false">
      <c r="A35" s="33" t="n">
        <v>46281</v>
      </c>
      <c r="B35" s="9" t="s">
        <v>187</v>
      </c>
      <c r="C35" s="9" t="s">
        <v>188</v>
      </c>
      <c r="D35" s="34" t="n">
        <v>-5310.6</v>
      </c>
      <c r="E35" s="35" t="str">
        <f aca="false">IF(COUNTIFS(Bank_Stmt!$B$5:$B$70,B35,Bank_Stmt!$D$5:$D$70,D35)&gt;0,"Matched","Unmatched")</f>
        <v>Matched</v>
      </c>
    </row>
    <row r="36" customFormat="false" ht="15" hidden="false" customHeight="false" outlineLevel="0" collapsed="false">
      <c r="A36" s="33" t="n">
        <v>46281</v>
      </c>
      <c r="B36" s="9" t="s">
        <v>189</v>
      </c>
      <c r="C36" s="9" t="s">
        <v>132</v>
      </c>
      <c r="D36" s="34" t="n">
        <v>98703.85</v>
      </c>
      <c r="E36" s="35" t="str">
        <f aca="false">IF(COUNTIFS(Bank_Stmt!$B$5:$B$70,B36,Bank_Stmt!$D$5:$D$70,D36)&gt;0,"Matched","Unmatched")</f>
        <v>Matched</v>
      </c>
    </row>
    <row r="37" customFormat="false" ht="15" hidden="false" customHeight="false" outlineLevel="0" collapsed="false">
      <c r="A37" s="33" t="n">
        <v>46282</v>
      </c>
      <c r="B37" s="9" t="s">
        <v>190</v>
      </c>
      <c r="C37" s="9" t="s">
        <v>134</v>
      </c>
      <c r="D37" s="34" t="n">
        <v>62977.92</v>
      </c>
      <c r="E37" s="35" t="str">
        <f aca="false">IF(COUNTIFS(Bank_Stmt!$B$5:$B$70,B37,Bank_Stmt!$D$5:$D$70,D37)&gt;0,"Matched","Unmatched")</f>
        <v>Matched</v>
      </c>
    </row>
    <row r="38" customFormat="false" ht="15" hidden="false" customHeight="false" outlineLevel="0" collapsed="false">
      <c r="A38" s="33" t="n">
        <v>46283</v>
      </c>
      <c r="B38" s="9" t="s">
        <v>191</v>
      </c>
      <c r="C38" s="9" t="s">
        <v>192</v>
      </c>
      <c r="D38" s="34" t="n">
        <v>-21600</v>
      </c>
      <c r="E38" s="35" t="str">
        <f aca="false">IF(COUNTIFS(Bank_Stmt!$B$5:$B$70,B38,Bank_Stmt!$D$5:$D$70,D38)&gt;0,"Matched","Unmatched")</f>
        <v>Matched</v>
      </c>
    </row>
    <row r="39" customFormat="false" ht="15" hidden="false" customHeight="false" outlineLevel="0" collapsed="false">
      <c r="A39" s="33" t="n">
        <v>46283</v>
      </c>
      <c r="B39" s="9" t="s">
        <v>193</v>
      </c>
      <c r="C39" s="9" t="s">
        <v>138</v>
      </c>
      <c r="D39" s="34" t="n">
        <v>87879.38</v>
      </c>
      <c r="E39" s="35" t="str">
        <f aca="false">IF(COUNTIFS(Bank_Stmt!$B$5:$B$70,B39,Bank_Stmt!$D$5:$D$70,D39)&gt;0,"Matched","Unmatched")</f>
        <v>Matched</v>
      </c>
    </row>
    <row r="40" customFormat="false" ht="15" hidden="false" customHeight="false" outlineLevel="0" collapsed="false">
      <c r="A40" s="33" t="n">
        <v>46285</v>
      </c>
      <c r="B40" s="9" t="s">
        <v>194</v>
      </c>
      <c r="C40" s="9" t="s">
        <v>195</v>
      </c>
      <c r="D40" s="34" t="n">
        <v>-6840</v>
      </c>
      <c r="E40" s="35" t="str">
        <f aca="false">IF(COUNTIFS(Bank_Stmt!$B$5:$B$70,B40,Bank_Stmt!$D$5:$D$70,D40)&gt;0,"Matched","Unmatched")</f>
        <v>Matched</v>
      </c>
    </row>
    <row r="41" customFormat="false" ht="15" hidden="false" customHeight="false" outlineLevel="0" collapsed="false">
      <c r="A41" s="33" t="n">
        <v>46286</v>
      </c>
      <c r="B41" s="9" t="s">
        <v>196</v>
      </c>
      <c r="C41" s="9" t="s">
        <v>144</v>
      </c>
      <c r="D41" s="34" t="n">
        <v>63392.02</v>
      </c>
      <c r="E41" s="35" t="str">
        <f aca="false">IF(COUNTIFS(Bank_Stmt!$B$5:$B$70,B41,Bank_Stmt!$D$5:$D$70,D41)&gt;0,"Matched","Unmatched")</f>
        <v>Matched</v>
      </c>
    </row>
    <row r="42" customFormat="false" ht="15" hidden="false" customHeight="false" outlineLevel="0" collapsed="false">
      <c r="A42" s="33" t="n">
        <v>46287</v>
      </c>
      <c r="B42" s="9" t="s">
        <v>197</v>
      </c>
      <c r="C42" s="9" t="s">
        <v>198</v>
      </c>
      <c r="D42" s="34" t="n">
        <v>20000</v>
      </c>
      <c r="E42" s="35" t="str">
        <f aca="false">IF(COUNTIFS(Bank_Stmt!$B$5:$B$70,B42,Bank_Stmt!$D$5:$D$70,D42)&gt;0,"Matched","Unmatched")</f>
        <v>Matched</v>
      </c>
    </row>
    <row r="43" customFormat="false" ht="15" hidden="false" customHeight="false" outlineLevel="0" collapsed="false">
      <c r="A43" s="33" t="n">
        <v>46287</v>
      </c>
      <c r="B43" s="9" t="s">
        <v>199</v>
      </c>
      <c r="C43" s="9" t="s">
        <v>154</v>
      </c>
      <c r="D43" s="34" t="n">
        <v>74456.63</v>
      </c>
      <c r="E43" s="35" t="str">
        <f aca="false">IF(COUNTIFS(Bank_Stmt!$B$5:$B$70,B43,Bank_Stmt!$D$5:$D$70,D43)&gt;0,"Matched","Unmatched")</f>
        <v>Matched</v>
      </c>
    </row>
    <row r="44" customFormat="false" ht="15" hidden="false" customHeight="false" outlineLevel="0" collapsed="false">
      <c r="A44" s="33" t="n">
        <v>46288</v>
      </c>
      <c r="B44" s="9" t="s">
        <v>200</v>
      </c>
      <c r="C44" s="9" t="s">
        <v>158</v>
      </c>
      <c r="D44" s="34" t="n">
        <v>41241.92</v>
      </c>
      <c r="E44" s="35" t="str">
        <f aca="false">IF(COUNTIFS(Bank_Stmt!$B$5:$B$70,B44,Bank_Stmt!$D$5:$D$70,D44)&gt;0,"Matched","Unmatched")</f>
        <v>Matched</v>
      </c>
    </row>
    <row r="45" customFormat="false" ht="15" hidden="false" customHeight="false" outlineLevel="0" collapsed="false">
      <c r="A45" s="33" t="n">
        <v>46289</v>
      </c>
      <c r="B45" s="9" t="s">
        <v>201</v>
      </c>
      <c r="C45" s="9" t="s">
        <v>165</v>
      </c>
      <c r="D45" s="34" t="n">
        <v>74170.52</v>
      </c>
      <c r="E45" s="35" t="str">
        <f aca="false">IF(COUNTIFS(Bank_Stmt!$B$5:$B$70,B45,Bank_Stmt!$D$5:$D$70,D45)&gt;0,"Matched","Unmatched")</f>
        <v>Matched</v>
      </c>
    </row>
    <row r="46" customFormat="false" ht="15" hidden="false" customHeight="false" outlineLevel="0" collapsed="false">
      <c r="A46" s="33" t="n">
        <v>46290</v>
      </c>
      <c r="B46" s="9" t="s">
        <v>202</v>
      </c>
      <c r="C46" s="9" t="s">
        <v>169</v>
      </c>
      <c r="D46" s="34" t="n">
        <v>90027.08</v>
      </c>
      <c r="E46" s="35" t="str">
        <f aca="false">IF(COUNTIFS(Bank_Stmt!$B$5:$B$70,B46,Bank_Stmt!$D$5:$D$70,D46)&gt;0,"Matched","Unmatched")</f>
        <v>Matched</v>
      </c>
    </row>
    <row r="47" customFormat="false" ht="15" hidden="false" customHeight="false" outlineLevel="0" collapsed="false">
      <c r="A47" s="33" t="n">
        <v>46290</v>
      </c>
      <c r="B47" s="9" t="s">
        <v>203</v>
      </c>
      <c r="C47" s="9" t="s">
        <v>171</v>
      </c>
      <c r="D47" s="34" t="n">
        <v>-251420</v>
      </c>
      <c r="E47" s="35" t="str">
        <f aca="false">IF(COUNTIFS(Bank_Stmt!$B$5:$B$70,B47,Bank_Stmt!$D$5:$D$70,D47)&gt;0,"Matched","Unmatched")</f>
        <v>Matched</v>
      </c>
    </row>
    <row r="48" customFormat="false" ht="15" hidden="false" customHeight="false" outlineLevel="0" collapsed="false">
      <c r="A48" s="33" t="n">
        <v>46291</v>
      </c>
      <c r="B48" s="9" t="s">
        <v>204</v>
      </c>
      <c r="C48" s="9" t="s">
        <v>205</v>
      </c>
      <c r="D48" s="34" t="n">
        <v>-38215</v>
      </c>
      <c r="E48" s="35" t="str">
        <f aca="false">IF(COUNTIFS(Bank_Stmt!$B$5:$B$70,B48,Bank_Stmt!$D$5:$D$70,D48)&gt;0,"Matched","Unmatched")</f>
        <v>Unmatched</v>
      </c>
      <c r="F48" s="9" t="s">
        <v>206</v>
      </c>
    </row>
    <row r="49" customFormat="false" ht="15" hidden="false" customHeight="false" outlineLevel="0" collapsed="false">
      <c r="A49" s="33" t="n">
        <v>46293</v>
      </c>
      <c r="B49" s="9" t="s">
        <v>207</v>
      </c>
      <c r="C49" s="9" t="s">
        <v>140</v>
      </c>
      <c r="D49" s="34" t="n">
        <v>-139750</v>
      </c>
      <c r="E49" s="35" t="str">
        <f aca="false">IF(COUNTIFS(Bank_Stmt!$B$5:$B$70,B49,Bank_Stmt!$D$5:$D$70,D49)&gt;0,"Matched","Unmatched")</f>
        <v>Matched</v>
      </c>
    </row>
    <row r="50" customFormat="false" ht="15" hidden="false" customHeight="false" outlineLevel="0" collapsed="false">
      <c r="A50" s="33" t="n">
        <v>46293</v>
      </c>
      <c r="B50" s="9" t="s">
        <v>208</v>
      </c>
      <c r="C50" s="9" t="s">
        <v>209</v>
      </c>
      <c r="D50" s="34" t="n">
        <v>-12480.5</v>
      </c>
      <c r="E50" s="35" t="str">
        <f aca="false">IF(COUNTIFS(Bank_Stmt!$B$5:$B$70,B50,Bank_Stmt!$D$5:$D$70,D50)&gt;0,"Matched","Unmatched")</f>
        <v>Unmatched</v>
      </c>
      <c r="F50" s="9" t="s">
        <v>206</v>
      </c>
    </row>
    <row r="51" customFormat="false" ht="15" hidden="false" customHeight="false" outlineLevel="0" collapsed="false">
      <c r="A51" s="33" t="n">
        <v>46293</v>
      </c>
      <c r="B51" s="9" t="s">
        <v>210</v>
      </c>
      <c r="C51" s="9" t="s">
        <v>180</v>
      </c>
      <c r="D51" s="34" t="n">
        <v>66576.32</v>
      </c>
      <c r="E51" s="35" t="str">
        <f aca="false">IF(COUNTIFS(Bank_Stmt!$B$5:$B$70,B51,Bank_Stmt!$D$5:$D$70,D51)&gt;0,"Matched","Unmatched")</f>
        <v>Matched</v>
      </c>
    </row>
    <row r="52" customFormat="false" ht="15" hidden="false" customHeight="false" outlineLevel="0" collapsed="false">
      <c r="A52" s="33" t="n">
        <v>46294</v>
      </c>
      <c r="B52" s="9" t="s">
        <v>211</v>
      </c>
      <c r="C52" s="9" t="s">
        <v>212</v>
      </c>
      <c r="D52" s="34" t="n">
        <v>-55300</v>
      </c>
      <c r="E52" s="35" t="str">
        <f aca="false">IF(COUNTIFS(Bank_Stmt!$B$5:$B$70,B52,Bank_Stmt!$D$5:$D$70,D52)&gt;0,"Matched","Unmatched")</f>
        <v>Unmatched</v>
      </c>
      <c r="F52" s="9" t="s">
        <v>206</v>
      </c>
    </row>
    <row r="53" customFormat="false" ht="15" hidden="false" customHeight="false" outlineLevel="0" collapsed="false">
      <c r="A53" s="33" t="n">
        <v>46294</v>
      </c>
      <c r="B53" s="9" t="s">
        <v>213</v>
      </c>
      <c r="C53" s="9" t="s">
        <v>214</v>
      </c>
      <c r="D53" s="34" t="n">
        <v>-9875.42</v>
      </c>
      <c r="E53" s="35" t="str">
        <f aca="false">IF(COUNTIFS(Bank_Stmt!$B$5:$B$70,B53,Bank_Stmt!$D$5:$D$70,D53)&gt;0,"Matched","Unmatched")</f>
        <v>Unmatched</v>
      </c>
      <c r="F53" s="9" t="s">
        <v>206</v>
      </c>
    </row>
    <row r="54" customFormat="false" ht="15" hidden="false" customHeight="false" outlineLevel="0" collapsed="false">
      <c r="A54" s="33" t="n">
        <v>46294</v>
      </c>
      <c r="B54" s="9" t="s">
        <v>215</v>
      </c>
      <c r="C54" s="9" t="s">
        <v>186</v>
      </c>
      <c r="D54" s="34" t="n">
        <v>81405.13</v>
      </c>
      <c r="E54" s="35" t="str">
        <f aca="false">IF(COUNTIFS(Bank_Stmt!$B$5:$B$70,B54,Bank_Stmt!$D$5:$D$70,D54)&gt;0,"Matched","Unmatched")</f>
        <v>Matched</v>
      </c>
    </row>
    <row r="55" customFormat="false" ht="15" hidden="false" customHeight="false" outlineLevel="0" collapsed="false">
      <c r="A55" s="33" t="n">
        <v>46295</v>
      </c>
      <c r="B55" s="9" t="s">
        <v>216</v>
      </c>
      <c r="C55" s="9" t="s">
        <v>217</v>
      </c>
      <c r="D55" s="34" t="n">
        <v>-32444.5</v>
      </c>
      <c r="E55" s="35" t="str">
        <f aca="false">IF(COUNTIFS(Bank_Stmt!$B$5:$B$70,B55,Bank_Stmt!$D$5:$D$70,D55)&gt;0,"Matched","Unmatched")</f>
        <v>Unmatched</v>
      </c>
      <c r="F55" s="9" t="s">
        <v>206</v>
      </c>
    </row>
    <row r="56" customFormat="false" ht="15" hidden="false" customHeight="false" outlineLevel="0" collapsed="false">
      <c r="A56" s="33" t="n">
        <v>46295</v>
      </c>
      <c r="B56" s="9" t="s">
        <v>218</v>
      </c>
      <c r="C56" s="9" t="s">
        <v>219</v>
      </c>
      <c r="D56" s="34" t="n">
        <v>86420</v>
      </c>
      <c r="E56" s="35" t="str">
        <f aca="false">IF(COUNTIFS(Bank_Stmt!$B$5:$B$70,B56,Bank_Stmt!$D$5:$D$70,D56)&gt;0,"Matched","Unmatched")</f>
        <v>Unmatched</v>
      </c>
      <c r="F56" s="9" t="s">
        <v>220</v>
      </c>
    </row>
    <row r="58" customFormat="false" ht="15" hidden="false" customHeight="false" outlineLevel="0" collapsed="false">
      <c r="C58" s="8" t="s">
        <v>221</v>
      </c>
      <c r="D58" s="36" t="n">
        <f aca="false">SUM(D5:D56)</f>
        <v>-19710.12</v>
      </c>
    </row>
    <row r="59" customFormat="false" ht="15" hidden="false" customHeight="false" outlineLevel="0" collapsed="false">
      <c r="C59" s="8" t="s">
        <v>222</v>
      </c>
      <c r="D59" s="37" t="n">
        <f aca="false">COUNTIFS(E5:E56,"Unmatched",F5:F56,"")</f>
        <v>0</v>
      </c>
    </row>
  </sheetData>
  <conditionalFormatting sqref="E5:E56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2">
      <formula>"Unmatched"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56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20"/>
  </cols>
  <sheetData>
    <row r="1" customFormat="false" ht="17.35" hidden="false" customHeight="false" outlineLevel="0" collapsed="false">
      <c r="A1" s="13" t="s">
        <v>223</v>
      </c>
    </row>
    <row r="2" customFormat="false" ht="15" hidden="false" customHeight="false" outlineLevel="0" collapsed="false">
      <c r="A2" s="4" t="s">
        <v>121</v>
      </c>
    </row>
    <row r="4" customFormat="false" ht="15" hidden="false" customHeight="false" outlineLevel="0" collapsed="false">
      <c r="A4" s="6" t="s">
        <v>122</v>
      </c>
      <c r="B4" s="7" t="s">
        <v>123</v>
      </c>
      <c r="C4" s="7" t="s">
        <v>124</v>
      </c>
      <c r="D4" s="7" t="s">
        <v>104</v>
      </c>
      <c r="E4" s="7" t="s">
        <v>125</v>
      </c>
      <c r="F4" s="7" t="s">
        <v>126</v>
      </c>
    </row>
    <row r="5" customFormat="false" ht="15" hidden="false" customHeight="false" outlineLevel="0" collapsed="false">
      <c r="A5" s="33" t="n">
        <v>46266</v>
      </c>
      <c r="B5" s="9" t="s">
        <v>127</v>
      </c>
      <c r="C5" s="9" t="s">
        <v>128</v>
      </c>
      <c r="D5" s="34" t="n">
        <v>-42000</v>
      </c>
      <c r="E5" s="35" t="str">
        <f aca="false">IF(COUNTIFS(GL_Cash!$B$5:$B$70,B5,GL_Cash!$D$5:$D$70,D5)&gt;0,"Matched","Unmatched")</f>
        <v>Matched</v>
      </c>
    </row>
    <row r="6" customFormat="false" ht="15" hidden="false" customHeight="false" outlineLevel="0" collapsed="false">
      <c r="A6" s="33" t="n">
        <v>46266</v>
      </c>
      <c r="B6" s="9" t="s">
        <v>129</v>
      </c>
      <c r="C6" s="9" t="s">
        <v>130</v>
      </c>
      <c r="D6" s="34" t="n">
        <v>-5290</v>
      </c>
      <c r="E6" s="35" t="str">
        <f aca="false">IF(COUNTIFS(GL_Cash!$B$5:$B$70,B6,GL_Cash!$D$5:$D$70,D6)&gt;0,"Matched","Unmatched")</f>
        <v>Matched</v>
      </c>
    </row>
    <row r="7" customFormat="false" ht="15" hidden="false" customHeight="false" outlineLevel="0" collapsed="false">
      <c r="A7" s="33" t="n">
        <v>46266</v>
      </c>
      <c r="B7" s="9" t="s">
        <v>131</v>
      </c>
      <c r="C7" s="9" t="s">
        <v>132</v>
      </c>
      <c r="D7" s="34" t="n">
        <v>47181.59</v>
      </c>
      <c r="E7" s="35" t="str">
        <f aca="false">IF(COUNTIFS(GL_Cash!$B$5:$B$70,B7,GL_Cash!$D$5:$D$70,D7)&gt;0,"Matched","Unmatched")</f>
        <v>Matched</v>
      </c>
    </row>
    <row r="8" customFormat="false" ht="15" hidden="false" customHeight="false" outlineLevel="0" collapsed="false">
      <c r="A8" s="33" t="n">
        <v>46267</v>
      </c>
      <c r="B8" s="9" t="s">
        <v>133</v>
      </c>
      <c r="C8" s="9" t="s">
        <v>134</v>
      </c>
      <c r="D8" s="34" t="n">
        <v>68007.59</v>
      </c>
      <c r="E8" s="35" t="str">
        <f aca="false">IF(COUNTIFS(GL_Cash!$B$5:$B$70,B8,GL_Cash!$D$5:$D$70,D8)&gt;0,"Matched","Unmatched")</f>
        <v>Matched</v>
      </c>
    </row>
    <row r="9" customFormat="false" ht="15" hidden="false" customHeight="false" outlineLevel="0" collapsed="false">
      <c r="A9" s="33" t="n">
        <v>46268</v>
      </c>
      <c r="B9" s="9" t="s">
        <v>135</v>
      </c>
      <c r="C9" s="9" t="s">
        <v>136</v>
      </c>
      <c r="D9" s="34" t="n">
        <v>-11250</v>
      </c>
      <c r="E9" s="35" t="str">
        <f aca="false">IF(COUNTIFS(GL_Cash!$B$5:$B$70,B9,GL_Cash!$D$5:$D$70,D9)&gt;0,"Matched","Unmatched")</f>
        <v>Matched</v>
      </c>
    </row>
    <row r="10" customFormat="false" ht="15" hidden="false" customHeight="false" outlineLevel="0" collapsed="false">
      <c r="A10" s="33" t="n">
        <v>46268</v>
      </c>
      <c r="B10" s="9" t="s">
        <v>137</v>
      </c>
      <c r="C10" s="9" t="s">
        <v>138</v>
      </c>
      <c r="D10" s="34" t="n">
        <v>56156.95</v>
      </c>
      <c r="E10" s="35" t="str">
        <f aca="false">IF(COUNTIFS(GL_Cash!$B$5:$B$70,B10,GL_Cash!$D$5:$D$70,D10)&gt;0,"Matched","Unmatched")</f>
        <v>Matched</v>
      </c>
    </row>
    <row r="11" customFormat="false" ht="15" hidden="false" customHeight="false" outlineLevel="0" collapsed="false">
      <c r="A11" s="33" t="n">
        <v>46269</v>
      </c>
      <c r="B11" s="9" t="s">
        <v>139</v>
      </c>
      <c r="C11" s="9" t="s">
        <v>140</v>
      </c>
      <c r="D11" s="34" t="n">
        <v>-148600</v>
      </c>
      <c r="E11" s="35" t="str">
        <f aca="false">IF(COUNTIFS(GL_Cash!$B$5:$B$70,B11,GL_Cash!$D$5:$D$70,D11)&gt;0,"Matched","Unmatched")</f>
        <v>Matched</v>
      </c>
    </row>
    <row r="12" customFormat="false" ht="15" hidden="false" customHeight="false" outlineLevel="0" collapsed="false">
      <c r="A12" s="33" t="n">
        <v>46269</v>
      </c>
      <c r="B12" s="9" t="s">
        <v>141</v>
      </c>
      <c r="C12" s="9" t="s">
        <v>142</v>
      </c>
      <c r="D12" s="34" t="n">
        <v>-8930.4</v>
      </c>
      <c r="E12" s="35" t="str">
        <f aca="false">IF(COUNTIFS(GL_Cash!$B$5:$B$70,B12,GL_Cash!$D$5:$D$70,D12)&gt;0,"Matched","Unmatched")</f>
        <v>Matched</v>
      </c>
    </row>
    <row r="13" customFormat="false" ht="15" hidden="false" customHeight="false" outlineLevel="0" collapsed="false">
      <c r="A13" s="33" t="n">
        <v>46269</v>
      </c>
      <c r="B13" s="9" t="s">
        <v>143</v>
      </c>
      <c r="C13" s="9" t="s">
        <v>144</v>
      </c>
      <c r="D13" s="34" t="n">
        <v>72066.56</v>
      </c>
      <c r="E13" s="35" t="str">
        <f aca="false">IF(COUNTIFS(GL_Cash!$B$5:$B$70,B13,GL_Cash!$D$5:$D$70,D13)&gt;0,"Matched","Unmatched")</f>
        <v>Matched</v>
      </c>
    </row>
    <row r="14" customFormat="false" ht="15" hidden="false" customHeight="false" outlineLevel="0" collapsed="false">
      <c r="A14" s="33" t="n">
        <v>46270</v>
      </c>
      <c r="B14" s="9" t="s">
        <v>145</v>
      </c>
      <c r="C14" s="9" t="s">
        <v>146</v>
      </c>
      <c r="D14" s="34" t="n">
        <v>-23410</v>
      </c>
      <c r="E14" s="35" t="str">
        <f aca="false">IF(COUNTIFS(GL_Cash!$B$5:$B$70,B14,GL_Cash!$D$5:$D$70,D14)&gt;0,"Matched","Unmatched")</f>
        <v>Matched</v>
      </c>
    </row>
    <row r="15" customFormat="false" ht="15" hidden="false" customHeight="false" outlineLevel="0" collapsed="false">
      <c r="A15" s="33" t="n">
        <v>46271</v>
      </c>
      <c r="B15" s="9" t="s">
        <v>147</v>
      </c>
      <c r="C15" s="9" t="s">
        <v>148</v>
      </c>
      <c r="D15" s="34" t="n">
        <v>-4120.75</v>
      </c>
      <c r="E15" s="35" t="str">
        <f aca="false">IF(COUNTIFS(GL_Cash!$B$5:$B$70,B15,GL_Cash!$D$5:$D$70,D15)&gt;0,"Matched","Unmatched")</f>
        <v>Matched</v>
      </c>
    </row>
    <row r="16" customFormat="false" ht="15" hidden="false" customHeight="false" outlineLevel="0" collapsed="false">
      <c r="A16" s="33" t="n">
        <v>46272</v>
      </c>
      <c r="B16" s="9" t="s">
        <v>149</v>
      </c>
      <c r="C16" s="9" t="s">
        <v>150</v>
      </c>
      <c r="D16" s="34" t="n">
        <v>-15600</v>
      </c>
      <c r="E16" s="35" t="str">
        <f aca="false">IF(COUNTIFS(GL_Cash!$B$5:$B$70,B16,GL_Cash!$D$5:$D$70,D16)&gt;0,"Matched","Unmatched")</f>
        <v>Matched</v>
      </c>
    </row>
    <row r="17" customFormat="false" ht="15" hidden="false" customHeight="false" outlineLevel="0" collapsed="false">
      <c r="A17" s="33" t="n">
        <v>46273</v>
      </c>
      <c r="B17" s="9" t="s">
        <v>151</v>
      </c>
      <c r="C17" s="9" t="s">
        <v>152</v>
      </c>
      <c r="D17" s="34" t="n">
        <v>-9875</v>
      </c>
      <c r="E17" s="35" t="str">
        <f aca="false">IF(COUNTIFS(GL_Cash!$B$5:$B$70,B17,GL_Cash!$D$5:$D$70,D17)&gt;0,"Matched","Unmatched")</f>
        <v>Matched</v>
      </c>
    </row>
    <row r="18" customFormat="false" ht="15" hidden="false" customHeight="false" outlineLevel="0" collapsed="false">
      <c r="A18" s="33" t="n">
        <v>46273</v>
      </c>
      <c r="B18" s="9" t="s">
        <v>153</v>
      </c>
      <c r="C18" s="9" t="s">
        <v>154</v>
      </c>
      <c r="D18" s="34" t="n">
        <v>73548.98</v>
      </c>
      <c r="E18" s="35" t="str">
        <f aca="false">IF(COUNTIFS(GL_Cash!$B$5:$B$70,B18,GL_Cash!$D$5:$D$70,D18)&gt;0,"Matched","Unmatched")</f>
        <v>Matched</v>
      </c>
    </row>
    <row r="19" customFormat="false" ht="15" hidden="false" customHeight="false" outlineLevel="0" collapsed="false">
      <c r="A19" s="33" t="n">
        <v>46274</v>
      </c>
      <c r="B19" s="9" t="s">
        <v>155</v>
      </c>
      <c r="C19" s="9" t="s">
        <v>156</v>
      </c>
      <c r="D19" s="34" t="n">
        <v>-31200</v>
      </c>
      <c r="E19" s="35" t="str">
        <f aca="false">IF(COUNTIFS(GL_Cash!$B$5:$B$70,B19,GL_Cash!$D$5:$D$70,D19)&gt;0,"Matched","Unmatched")</f>
        <v>Matched</v>
      </c>
    </row>
    <row r="20" customFormat="false" ht="15" hidden="false" customHeight="false" outlineLevel="0" collapsed="false">
      <c r="A20" s="33" t="n">
        <v>46274</v>
      </c>
      <c r="B20" s="9" t="s">
        <v>157</v>
      </c>
      <c r="C20" s="9" t="s">
        <v>158</v>
      </c>
      <c r="D20" s="34" t="n">
        <v>35455.96</v>
      </c>
      <c r="E20" s="35" t="str">
        <f aca="false">IF(COUNTIFS(GL_Cash!$B$5:$B$70,B20,GL_Cash!$D$5:$D$70,D20)&gt;0,"Matched","Unmatched")</f>
        <v>Matched</v>
      </c>
    </row>
    <row r="21" customFormat="false" ht="15" hidden="false" customHeight="false" outlineLevel="0" collapsed="false">
      <c r="A21" s="33" t="n">
        <v>46275</v>
      </c>
      <c r="B21" s="9" t="s">
        <v>159</v>
      </c>
      <c r="C21" s="9" t="s">
        <v>160</v>
      </c>
      <c r="D21" s="34" t="n">
        <v>-18420</v>
      </c>
      <c r="E21" s="35" t="str">
        <f aca="false">IF(COUNTIFS(GL_Cash!$B$5:$B$70,B21,GL_Cash!$D$5:$D$70,D21)&gt;0,"Matched","Unmatched")</f>
        <v>Matched</v>
      </c>
    </row>
    <row r="22" customFormat="false" ht="15" hidden="false" customHeight="false" outlineLevel="0" collapsed="false">
      <c r="A22" s="33" t="n">
        <v>46275</v>
      </c>
      <c r="B22" s="9" t="s">
        <v>164</v>
      </c>
      <c r="C22" s="9" t="s">
        <v>165</v>
      </c>
      <c r="D22" s="34" t="n">
        <v>31895.42</v>
      </c>
      <c r="E22" s="35" t="str">
        <f aca="false">IF(COUNTIFS(GL_Cash!$B$5:$B$70,B22,GL_Cash!$D$5:$D$70,D22)&gt;0,"Matched","Unmatched")</f>
        <v>Matched</v>
      </c>
    </row>
    <row r="23" customFormat="false" ht="15" hidden="false" customHeight="false" outlineLevel="0" collapsed="false">
      <c r="A23" s="33" t="n">
        <v>46276</v>
      </c>
      <c r="B23" s="9" t="s">
        <v>166</v>
      </c>
      <c r="C23" s="9" t="s">
        <v>167</v>
      </c>
      <c r="D23" s="34" t="n">
        <v>-6240</v>
      </c>
      <c r="E23" s="35" t="str">
        <f aca="false">IF(COUNTIFS(GL_Cash!$B$5:$B$70,B23,GL_Cash!$D$5:$D$70,D23)&gt;0,"Matched","Unmatched")</f>
        <v>Matched</v>
      </c>
    </row>
    <row r="24" customFormat="false" ht="15" hidden="false" customHeight="false" outlineLevel="0" collapsed="false">
      <c r="A24" s="33" t="n">
        <v>46276</v>
      </c>
      <c r="B24" s="9" t="s">
        <v>168</v>
      </c>
      <c r="C24" s="9" t="s">
        <v>169</v>
      </c>
      <c r="D24" s="34" t="n">
        <v>87947.9</v>
      </c>
      <c r="E24" s="35" t="str">
        <f aca="false">IF(COUNTIFS(GL_Cash!$B$5:$B$70,B24,GL_Cash!$D$5:$D$70,D24)&gt;0,"Matched","Unmatched")</f>
        <v>Matched</v>
      </c>
    </row>
    <row r="25" customFormat="false" ht="15" hidden="false" customHeight="false" outlineLevel="0" collapsed="false">
      <c r="A25" s="33" t="n">
        <v>46276</v>
      </c>
      <c r="B25" s="9" t="s">
        <v>170</v>
      </c>
      <c r="C25" s="9" t="s">
        <v>171</v>
      </c>
      <c r="D25" s="34" t="n">
        <v>-249850</v>
      </c>
      <c r="E25" s="35" t="str">
        <f aca="false">IF(COUNTIFS(GL_Cash!$B$5:$B$70,B25,GL_Cash!$D$5:$D$70,D25)&gt;0,"Matched","Unmatched")</f>
        <v>Matched</v>
      </c>
    </row>
    <row r="26" customFormat="false" ht="15" hidden="false" customHeight="false" outlineLevel="0" collapsed="false">
      <c r="A26" s="33" t="n">
        <v>46277</v>
      </c>
      <c r="B26" s="9" t="s">
        <v>161</v>
      </c>
      <c r="C26" s="9" t="s">
        <v>224</v>
      </c>
      <c r="D26" s="34" t="n">
        <v>-4580</v>
      </c>
      <c r="E26" s="35" t="str">
        <f aca="false">IF(COUNTIFS(GL_Cash!$B$5:$B$70,B26,GL_Cash!$D$5:$D$70,D26)&gt;0,"Matched","Unmatched")</f>
        <v>Unmatched</v>
      </c>
      <c r="F26" s="9" t="s">
        <v>163</v>
      </c>
    </row>
    <row r="27" customFormat="false" ht="15" hidden="false" customHeight="false" outlineLevel="0" collapsed="false">
      <c r="A27" s="33" t="n">
        <v>46277</v>
      </c>
      <c r="B27" s="9" t="s">
        <v>172</v>
      </c>
      <c r="C27" s="9" t="s">
        <v>173</v>
      </c>
      <c r="D27" s="34" t="n">
        <v>-12880</v>
      </c>
      <c r="E27" s="35" t="str">
        <f aca="false">IF(COUNTIFS(GL_Cash!$B$5:$B$70,B27,GL_Cash!$D$5:$D$70,D27)&gt;0,"Matched","Unmatched")</f>
        <v>Matched</v>
      </c>
    </row>
    <row r="28" customFormat="false" ht="15" hidden="false" customHeight="false" outlineLevel="0" collapsed="false">
      <c r="A28" s="33" t="n">
        <v>46278</v>
      </c>
      <c r="B28" s="9" t="s">
        <v>174</v>
      </c>
      <c r="C28" s="9" t="s">
        <v>175</v>
      </c>
      <c r="D28" s="34" t="n">
        <v>-18990.25</v>
      </c>
      <c r="E28" s="35" t="str">
        <f aca="false">IF(COUNTIFS(GL_Cash!$B$5:$B$70,B28,GL_Cash!$D$5:$D$70,D28)&gt;0,"Matched","Unmatched")</f>
        <v>Matched</v>
      </c>
    </row>
    <row r="29" customFormat="false" ht="15" hidden="false" customHeight="false" outlineLevel="0" collapsed="false">
      <c r="A29" s="33" t="n">
        <v>46279</v>
      </c>
      <c r="B29" s="9" t="s">
        <v>176</v>
      </c>
      <c r="C29" s="9" t="s">
        <v>140</v>
      </c>
      <c r="D29" s="34" t="n">
        <v>-162300</v>
      </c>
      <c r="E29" s="35" t="str">
        <f aca="false">IF(COUNTIFS(GL_Cash!$B$5:$B$70,B29,GL_Cash!$D$5:$D$70,D29)&gt;0,"Matched","Unmatched")</f>
        <v>Matched</v>
      </c>
    </row>
    <row r="30" customFormat="false" ht="15" hidden="false" customHeight="false" outlineLevel="0" collapsed="false">
      <c r="A30" s="33" t="n">
        <v>46279</v>
      </c>
      <c r="B30" s="9" t="s">
        <v>177</v>
      </c>
      <c r="C30" s="9" t="s">
        <v>178</v>
      </c>
      <c r="D30" s="34" t="n">
        <v>-7450</v>
      </c>
      <c r="E30" s="35" t="str">
        <f aca="false">IF(COUNTIFS(GL_Cash!$B$5:$B$70,B30,GL_Cash!$D$5:$D$70,D30)&gt;0,"Matched","Unmatched")</f>
        <v>Matched</v>
      </c>
    </row>
    <row r="31" customFormat="false" ht="15" hidden="false" customHeight="false" outlineLevel="0" collapsed="false">
      <c r="A31" s="33" t="n">
        <v>46279</v>
      </c>
      <c r="B31" s="9" t="s">
        <v>179</v>
      </c>
      <c r="C31" s="9" t="s">
        <v>180</v>
      </c>
      <c r="D31" s="34" t="n">
        <v>48636.07</v>
      </c>
      <c r="E31" s="35" t="str">
        <f aca="false">IF(COUNTIFS(GL_Cash!$B$5:$B$70,B31,GL_Cash!$D$5:$D$70,D31)&gt;0,"Matched","Unmatched")</f>
        <v>Matched</v>
      </c>
    </row>
    <row r="32" customFormat="false" ht="15" hidden="false" customHeight="false" outlineLevel="0" collapsed="false">
      <c r="A32" s="33" t="n">
        <v>46280</v>
      </c>
      <c r="B32" s="9" t="s">
        <v>181</v>
      </c>
      <c r="C32" s="9" t="s">
        <v>182</v>
      </c>
      <c r="D32" s="34" t="n">
        <v>-54000</v>
      </c>
      <c r="E32" s="35" t="str">
        <f aca="false">IF(COUNTIFS(GL_Cash!$B$5:$B$70,B32,GL_Cash!$D$5:$D$70,D32)&gt;0,"Matched","Unmatched")</f>
        <v>Matched</v>
      </c>
    </row>
    <row r="33" customFormat="false" ht="15" hidden="false" customHeight="false" outlineLevel="0" collapsed="false">
      <c r="A33" s="33" t="n">
        <v>46280</v>
      </c>
      <c r="B33" s="9" t="s">
        <v>183</v>
      </c>
      <c r="C33" s="9" t="s">
        <v>184</v>
      </c>
      <c r="D33" s="34" t="n">
        <v>-26300</v>
      </c>
      <c r="E33" s="35" t="str">
        <f aca="false">IF(COUNTIFS(GL_Cash!$B$5:$B$70,B33,GL_Cash!$D$5:$D$70,D33)&gt;0,"Matched","Unmatched")</f>
        <v>Matched</v>
      </c>
    </row>
    <row r="34" customFormat="false" ht="15" hidden="false" customHeight="false" outlineLevel="0" collapsed="false">
      <c r="A34" s="33" t="n">
        <v>46280</v>
      </c>
      <c r="B34" s="9" t="s">
        <v>185</v>
      </c>
      <c r="C34" s="9" t="s">
        <v>186</v>
      </c>
      <c r="D34" s="34" t="n">
        <v>46934.51</v>
      </c>
      <c r="E34" s="35" t="str">
        <f aca="false">IF(COUNTIFS(GL_Cash!$B$5:$B$70,B34,GL_Cash!$D$5:$D$70,D34)&gt;0,"Matched","Unmatched")</f>
        <v>Matched</v>
      </c>
    </row>
    <row r="35" customFormat="false" ht="15" hidden="false" customHeight="false" outlineLevel="0" collapsed="false">
      <c r="A35" s="33" t="n">
        <v>46281</v>
      </c>
      <c r="B35" s="9" t="s">
        <v>187</v>
      </c>
      <c r="C35" s="9" t="s">
        <v>188</v>
      </c>
      <c r="D35" s="34" t="n">
        <v>-5310.6</v>
      </c>
      <c r="E35" s="35" t="str">
        <f aca="false">IF(COUNTIFS(GL_Cash!$B$5:$B$70,B35,GL_Cash!$D$5:$D$70,D35)&gt;0,"Matched","Unmatched")</f>
        <v>Matched</v>
      </c>
    </row>
    <row r="36" customFormat="false" ht="15" hidden="false" customHeight="false" outlineLevel="0" collapsed="false">
      <c r="A36" s="33" t="n">
        <v>46281</v>
      </c>
      <c r="B36" s="9" t="s">
        <v>189</v>
      </c>
      <c r="C36" s="9" t="s">
        <v>132</v>
      </c>
      <c r="D36" s="34" t="n">
        <v>98703.85</v>
      </c>
      <c r="E36" s="35" t="str">
        <f aca="false">IF(COUNTIFS(GL_Cash!$B$5:$B$70,B36,GL_Cash!$D$5:$D$70,D36)&gt;0,"Matched","Unmatched")</f>
        <v>Matched</v>
      </c>
    </row>
    <row r="37" customFormat="false" ht="15" hidden="false" customHeight="false" outlineLevel="0" collapsed="false">
      <c r="A37" s="33" t="n">
        <v>46282</v>
      </c>
      <c r="B37" s="9" t="s">
        <v>190</v>
      </c>
      <c r="C37" s="9" t="s">
        <v>134</v>
      </c>
      <c r="D37" s="34" t="n">
        <v>62977.92</v>
      </c>
      <c r="E37" s="35" t="str">
        <f aca="false">IF(COUNTIFS(GL_Cash!$B$5:$B$70,B37,GL_Cash!$D$5:$D$70,D37)&gt;0,"Matched","Unmatched")</f>
        <v>Matched</v>
      </c>
    </row>
    <row r="38" customFormat="false" ht="15" hidden="false" customHeight="false" outlineLevel="0" collapsed="false">
      <c r="A38" s="33" t="n">
        <v>46282</v>
      </c>
      <c r="B38" s="9" t="s">
        <v>225</v>
      </c>
      <c r="C38" s="9" t="s">
        <v>226</v>
      </c>
      <c r="D38" s="34" t="n">
        <v>-12600</v>
      </c>
      <c r="E38" s="35" t="str">
        <f aca="false">IF(COUNTIFS(GL_Cash!$B$5:$B$70,B38,GL_Cash!$D$5:$D$70,D38)&gt;0,"Matched","Unmatched")</f>
        <v>Unmatched</v>
      </c>
      <c r="F38" s="9" t="s">
        <v>227</v>
      </c>
    </row>
    <row r="39" customFormat="false" ht="15" hidden="false" customHeight="false" outlineLevel="0" collapsed="false">
      <c r="A39" s="33" t="n">
        <v>46283</v>
      </c>
      <c r="B39" s="9" t="s">
        <v>191</v>
      </c>
      <c r="C39" s="9" t="s">
        <v>192</v>
      </c>
      <c r="D39" s="34" t="n">
        <v>-21600</v>
      </c>
      <c r="E39" s="35" t="str">
        <f aca="false">IF(COUNTIFS(GL_Cash!$B$5:$B$70,B39,GL_Cash!$D$5:$D$70,D39)&gt;0,"Matched","Unmatched")</f>
        <v>Matched</v>
      </c>
    </row>
    <row r="40" customFormat="false" ht="15" hidden="false" customHeight="false" outlineLevel="0" collapsed="false">
      <c r="A40" s="33" t="n">
        <v>46283</v>
      </c>
      <c r="B40" s="9" t="s">
        <v>193</v>
      </c>
      <c r="C40" s="9" t="s">
        <v>138</v>
      </c>
      <c r="D40" s="34" t="n">
        <v>87879.38</v>
      </c>
      <c r="E40" s="35" t="str">
        <f aca="false">IF(COUNTIFS(GL_Cash!$B$5:$B$70,B40,GL_Cash!$D$5:$D$70,D40)&gt;0,"Matched","Unmatched")</f>
        <v>Matched</v>
      </c>
    </row>
    <row r="41" customFormat="false" ht="15" hidden="false" customHeight="false" outlineLevel="0" collapsed="false">
      <c r="A41" s="33" t="n">
        <v>46285</v>
      </c>
      <c r="B41" s="9" t="s">
        <v>194</v>
      </c>
      <c r="C41" s="9" t="s">
        <v>195</v>
      </c>
      <c r="D41" s="34" t="n">
        <v>-6840</v>
      </c>
      <c r="E41" s="35" t="str">
        <f aca="false">IF(COUNTIFS(GL_Cash!$B$5:$B$70,B41,GL_Cash!$D$5:$D$70,D41)&gt;0,"Matched","Unmatched")</f>
        <v>Matched</v>
      </c>
    </row>
    <row r="42" customFormat="false" ht="15" hidden="false" customHeight="false" outlineLevel="0" collapsed="false">
      <c r="A42" s="33" t="n">
        <v>46286</v>
      </c>
      <c r="B42" s="9" t="s">
        <v>196</v>
      </c>
      <c r="C42" s="9" t="s">
        <v>144</v>
      </c>
      <c r="D42" s="34" t="n">
        <v>63392.02</v>
      </c>
      <c r="E42" s="35" t="str">
        <f aca="false">IF(COUNTIFS(GL_Cash!$B$5:$B$70,B42,GL_Cash!$D$5:$D$70,D42)&gt;0,"Matched","Unmatched")</f>
        <v>Matched</v>
      </c>
    </row>
    <row r="43" customFormat="false" ht="15" hidden="false" customHeight="false" outlineLevel="0" collapsed="false">
      <c r="A43" s="33" t="n">
        <v>46287</v>
      </c>
      <c r="B43" s="9" t="s">
        <v>197</v>
      </c>
      <c r="C43" s="9" t="s">
        <v>198</v>
      </c>
      <c r="D43" s="34" t="n">
        <v>20000</v>
      </c>
      <c r="E43" s="35" t="str">
        <f aca="false">IF(COUNTIFS(GL_Cash!$B$5:$B$70,B43,GL_Cash!$D$5:$D$70,D43)&gt;0,"Matched","Unmatched")</f>
        <v>Matched</v>
      </c>
    </row>
    <row r="44" customFormat="false" ht="15" hidden="false" customHeight="false" outlineLevel="0" collapsed="false">
      <c r="A44" s="33" t="n">
        <v>46287</v>
      </c>
      <c r="B44" s="9" t="s">
        <v>199</v>
      </c>
      <c r="C44" s="9" t="s">
        <v>154</v>
      </c>
      <c r="D44" s="34" t="n">
        <v>74456.63</v>
      </c>
      <c r="E44" s="35" t="str">
        <f aca="false">IF(COUNTIFS(GL_Cash!$B$5:$B$70,B44,GL_Cash!$D$5:$D$70,D44)&gt;0,"Matched","Unmatched")</f>
        <v>Matched</v>
      </c>
    </row>
    <row r="45" customFormat="false" ht="15" hidden="false" customHeight="false" outlineLevel="0" collapsed="false">
      <c r="A45" s="33" t="n">
        <v>46288</v>
      </c>
      <c r="B45" s="9" t="s">
        <v>200</v>
      </c>
      <c r="C45" s="9" t="s">
        <v>158</v>
      </c>
      <c r="D45" s="34" t="n">
        <v>41241.92</v>
      </c>
      <c r="E45" s="35" t="str">
        <f aca="false">IF(COUNTIFS(GL_Cash!$B$5:$B$70,B45,GL_Cash!$D$5:$D$70,D45)&gt;0,"Matched","Unmatched")</f>
        <v>Matched</v>
      </c>
    </row>
    <row r="46" customFormat="false" ht="15" hidden="false" customHeight="false" outlineLevel="0" collapsed="false">
      <c r="A46" s="33" t="n">
        <v>46289</v>
      </c>
      <c r="B46" s="9" t="s">
        <v>201</v>
      </c>
      <c r="C46" s="9" t="s">
        <v>165</v>
      </c>
      <c r="D46" s="34" t="n">
        <v>74170.52</v>
      </c>
      <c r="E46" s="35" t="str">
        <f aca="false">IF(COUNTIFS(GL_Cash!$B$5:$B$70,B46,GL_Cash!$D$5:$D$70,D46)&gt;0,"Matched","Unmatched")</f>
        <v>Matched</v>
      </c>
    </row>
    <row r="47" customFormat="false" ht="15" hidden="false" customHeight="false" outlineLevel="0" collapsed="false">
      <c r="A47" s="33" t="n">
        <v>46290</v>
      </c>
      <c r="B47" s="9" t="s">
        <v>202</v>
      </c>
      <c r="C47" s="9" t="s">
        <v>169</v>
      </c>
      <c r="D47" s="34" t="n">
        <v>90027.08</v>
      </c>
      <c r="E47" s="35" t="str">
        <f aca="false">IF(COUNTIFS(GL_Cash!$B$5:$B$70,B47,GL_Cash!$D$5:$D$70,D47)&gt;0,"Matched","Unmatched")</f>
        <v>Matched</v>
      </c>
    </row>
    <row r="48" customFormat="false" ht="15" hidden="false" customHeight="false" outlineLevel="0" collapsed="false">
      <c r="A48" s="33" t="n">
        <v>46290</v>
      </c>
      <c r="B48" s="9" t="s">
        <v>203</v>
      </c>
      <c r="C48" s="9" t="s">
        <v>171</v>
      </c>
      <c r="D48" s="34" t="n">
        <v>-251420</v>
      </c>
      <c r="E48" s="35" t="str">
        <f aca="false">IF(COUNTIFS(GL_Cash!$B$5:$B$70,B48,GL_Cash!$D$5:$D$70,D48)&gt;0,"Matched","Unmatched")</f>
        <v>Matched</v>
      </c>
    </row>
    <row r="49" customFormat="false" ht="15" hidden="false" customHeight="false" outlineLevel="0" collapsed="false">
      <c r="A49" s="33" t="n">
        <v>46293</v>
      </c>
      <c r="B49" s="9" t="s">
        <v>207</v>
      </c>
      <c r="C49" s="9" t="s">
        <v>140</v>
      </c>
      <c r="D49" s="34" t="n">
        <v>-139750</v>
      </c>
      <c r="E49" s="35" t="str">
        <f aca="false">IF(COUNTIFS(GL_Cash!$B$5:$B$70,B49,GL_Cash!$D$5:$D$70,D49)&gt;0,"Matched","Unmatched")</f>
        <v>Matched</v>
      </c>
    </row>
    <row r="50" customFormat="false" ht="15" hidden="false" customHeight="false" outlineLevel="0" collapsed="false">
      <c r="A50" s="33" t="n">
        <v>46293</v>
      </c>
      <c r="B50" s="9" t="s">
        <v>210</v>
      </c>
      <c r="C50" s="9" t="s">
        <v>180</v>
      </c>
      <c r="D50" s="34" t="n">
        <v>66576.32</v>
      </c>
      <c r="E50" s="35" t="str">
        <f aca="false">IF(COUNTIFS(GL_Cash!$B$5:$B$70,B50,GL_Cash!$D$5:$D$70,D50)&gt;0,"Matched","Unmatched")</f>
        <v>Matched</v>
      </c>
    </row>
    <row r="51" customFormat="false" ht="15" hidden="false" customHeight="false" outlineLevel="0" collapsed="false">
      <c r="A51" s="33" t="n">
        <v>46294</v>
      </c>
      <c r="B51" s="9" t="s">
        <v>215</v>
      </c>
      <c r="C51" s="9" t="s">
        <v>186</v>
      </c>
      <c r="D51" s="34" t="n">
        <v>81405.13</v>
      </c>
      <c r="E51" s="35" t="str">
        <f aca="false">IF(COUNTIFS(GL_Cash!$B$5:$B$70,B51,GL_Cash!$D$5:$D$70,D51)&gt;0,"Matched","Unmatched")</f>
        <v>Matched</v>
      </c>
    </row>
    <row r="52" customFormat="false" ht="15" hidden="false" customHeight="false" outlineLevel="0" collapsed="false">
      <c r="A52" s="33" t="n">
        <v>46295</v>
      </c>
      <c r="B52" s="9" t="s">
        <v>228</v>
      </c>
      <c r="C52" s="9" t="s">
        <v>229</v>
      </c>
      <c r="D52" s="34" t="n">
        <v>-185</v>
      </c>
      <c r="E52" s="35" t="str">
        <f aca="false">IF(COUNTIFS(GL_Cash!$B$5:$B$70,B52,GL_Cash!$D$5:$D$70,D52)&gt;0,"Matched","Unmatched")</f>
        <v>Unmatched</v>
      </c>
      <c r="F52" s="9" t="s">
        <v>230</v>
      </c>
    </row>
    <row r="53" customFormat="false" ht="15" hidden="false" customHeight="false" outlineLevel="0" collapsed="false">
      <c r="A53" s="33" t="n">
        <v>46295</v>
      </c>
      <c r="B53" s="9" t="s">
        <v>231</v>
      </c>
      <c r="C53" s="9" t="s">
        <v>232</v>
      </c>
      <c r="D53" s="34" t="n">
        <v>412.37</v>
      </c>
      <c r="E53" s="35" t="str">
        <f aca="false">IF(COUNTIFS(GL_Cash!$B$5:$B$70,B53,GL_Cash!$D$5:$D$70,D53)&gt;0,"Matched","Unmatched")</f>
        <v>Unmatched</v>
      </c>
      <c r="F53" s="9" t="s">
        <v>233</v>
      </c>
    </row>
    <row r="55" customFormat="false" ht="15" hidden="false" customHeight="false" outlineLevel="0" collapsed="false">
      <c r="C55" s="8" t="s">
        <v>221</v>
      </c>
      <c r="D55" s="36" t="n">
        <f aca="false">SUM(D5:D53)</f>
        <v>30082.67</v>
      </c>
    </row>
    <row r="56" customFormat="false" ht="15" hidden="false" customHeight="false" outlineLevel="0" collapsed="false">
      <c r="C56" s="8" t="s">
        <v>222</v>
      </c>
      <c r="D56" s="37" t="n">
        <f aca="false">COUNTIFS(E5:E53,"Unmatched",F5:F53,"")</f>
        <v>0</v>
      </c>
    </row>
  </sheetData>
  <conditionalFormatting sqref="E5:E53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2">
      <formula>"Unmatched"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40"/>
  </cols>
  <sheetData>
    <row r="1" customFormat="false" ht="17.35" hidden="false" customHeight="false" outlineLevel="0" collapsed="false">
      <c r="A1" s="13" t="s">
        <v>234</v>
      </c>
    </row>
    <row r="2" customFormat="false" ht="15" hidden="false" customHeight="false" outlineLevel="0" collapsed="false">
      <c r="A2" s="4" t="s">
        <v>235</v>
      </c>
    </row>
    <row r="4" customFormat="false" ht="15" hidden="false" customHeight="false" outlineLevel="0" collapsed="false">
      <c r="A4" s="8" t="s">
        <v>236</v>
      </c>
      <c r="C4" s="34" t="n">
        <v>598240</v>
      </c>
    </row>
    <row r="6" customFormat="false" ht="15" hidden="false" customHeight="false" outlineLevel="0" collapsed="false">
      <c r="A6" s="6" t="s">
        <v>237</v>
      </c>
      <c r="B6" s="7"/>
      <c r="C6" s="7" t="s">
        <v>104</v>
      </c>
      <c r="D6" s="7"/>
      <c r="E6" s="7" t="s">
        <v>238</v>
      </c>
    </row>
    <row r="7" customFormat="false" ht="15" hidden="false" customHeight="false" outlineLevel="0" collapsed="false">
      <c r="A7" s="16" t="s">
        <v>239</v>
      </c>
      <c r="C7" s="38" t="n">
        <f aca="false">C4+Bank_Stmt!D55</f>
        <v>628322.67</v>
      </c>
      <c r="E7" s="4"/>
    </row>
    <row r="8" customFormat="false" ht="15" hidden="false" customHeight="false" outlineLevel="0" collapsed="false">
      <c r="A8" s="16" t="s">
        <v>240</v>
      </c>
      <c r="C8" s="38" t="n">
        <f aca="false">SUMIFS(GL_Cash!$D$5:$D$56,GL_Cash!$F$5:$F$56,"Deposit in transit")</f>
        <v>86420</v>
      </c>
      <c r="E8" s="4" t="s">
        <v>241</v>
      </c>
    </row>
    <row r="9" customFormat="false" ht="15" hidden="false" customHeight="false" outlineLevel="0" collapsed="false">
      <c r="A9" s="16" t="s">
        <v>242</v>
      </c>
      <c r="C9" s="38" t="n">
        <f aca="false">SUMIFS(GL_Cash!$D$5:$D$56,GL_Cash!$F$5:$F$56,"Outstanding check")</f>
        <v>-148315.42</v>
      </c>
      <c r="E9" s="4" t="s">
        <v>243</v>
      </c>
    </row>
    <row r="10" customFormat="false" ht="15" hidden="false" customHeight="false" outlineLevel="0" collapsed="false">
      <c r="A10" s="8" t="s">
        <v>244</v>
      </c>
      <c r="C10" s="36" t="n">
        <f aca="false">SUM(C7:C9)</f>
        <v>566427.25</v>
      </c>
      <c r="E10" s="4"/>
    </row>
    <row r="12" customFormat="false" ht="15" hidden="false" customHeight="false" outlineLevel="0" collapsed="false">
      <c r="A12" s="6" t="s">
        <v>245</v>
      </c>
      <c r="B12" s="7"/>
      <c r="C12" s="7" t="s">
        <v>104</v>
      </c>
      <c r="D12" s="7"/>
      <c r="E12" s="7" t="s">
        <v>238</v>
      </c>
    </row>
    <row r="13" customFormat="false" ht="15" hidden="false" customHeight="false" outlineLevel="0" collapsed="false">
      <c r="A13" s="16" t="s">
        <v>246</v>
      </c>
      <c r="C13" s="38" t="n">
        <f aca="false">C4+GL_Cash!D58</f>
        <v>578529.88</v>
      </c>
      <c r="E13" s="4"/>
    </row>
    <row r="14" customFormat="false" ht="15" hidden="false" customHeight="false" outlineLevel="0" collapsed="false">
      <c r="A14" s="16" t="s">
        <v>247</v>
      </c>
      <c r="C14" s="38" t="n">
        <f aca="false">SUMIFS(Bank_Stmt!$D$5:$D$53,Bank_Stmt!$F$5:$F$53,"Interest income")</f>
        <v>412.37</v>
      </c>
      <c r="E14" s="4"/>
    </row>
    <row r="15" customFormat="false" ht="15" hidden="false" customHeight="false" outlineLevel="0" collapsed="false">
      <c r="A15" s="16" t="s">
        <v>248</v>
      </c>
      <c r="C15" s="38" t="n">
        <f aca="false">SUMIFS(Bank_Stmt!$D$5:$D$53,Bank_Stmt!$F$5:$F$53,"Bank fee")</f>
        <v>-185</v>
      </c>
      <c r="E15" s="4"/>
    </row>
    <row r="16" customFormat="false" ht="15" hidden="false" customHeight="false" outlineLevel="0" collapsed="false">
      <c r="A16" s="16" t="s">
        <v>249</v>
      </c>
      <c r="C16" s="38" t="n">
        <f aca="false">SUMIFS(Bank_Stmt!$D$5:$D$53,Bank_Stmt!$F$5:$F$53,"NSF check")</f>
        <v>-12600</v>
      </c>
      <c r="E16" s="4" t="s">
        <v>250</v>
      </c>
    </row>
    <row r="17" customFormat="false" ht="15" hidden="false" customHeight="false" outlineLevel="0" collapsed="false">
      <c r="A17" s="16" t="s">
        <v>251</v>
      </c>
      <c r="C17" s="38" t="n">
        <f aca="false">SUMIFS(Bank_Stmt!$D$5:$D$53,Bank_Stmt!$F$5:$F$53,"Book error")-SUMIFS(GL_Cash!$D$5:$D$56,GL_Cash!$F$5:$F$56,"Book error")</f>
        <v>270</v>
      </c>
      <c r="E17" s="4" t="s">
        <v>252</v>
      </c>
    </row>
    <row r="18" customFormat="false" ht="15" hidden="false" customHeight="false" outlineLevel="0" collapsed="false">
      <c r="A18" s="8" t="s">
        <v>253</v>
      </c>
      <c r="C18" s="36" t="n">
        <f aca="false">SUM(C13:C17)</f>
        <v>566427.25</v>
      </c>
      <c r="E18" s="4"/>
    </row>
    <row r="20" customFormat="false" ht="15" hidden="false" customHeight="false" outlineLevel="0" collapsed="false">
      <c r="A20" s="8" t="s">
        <v>254</v>
      </c>
      <c r="C20" s="39" t="n">
        <f aca="false">C18</f>
        <v>566427.25</v>
      </c>
    </row>
    <row r="21" customFormat="false" ht="15" hidden="false" customHeight="false" outlineLevel="0" collapsed="false">
      <c r="A21" s="8" t="s">
        <v>255</v>
      </c>
      <c r="C21" s="40" t="n">
        <f aca="false">C10-C18</f>
        <v>0</v>
      </c>
    </row>
    <row r="22" customFormat="false" ht="15" hidden="false" customHeight="false" outlineLevel="0" collapsed="false">
      <c r="A22" s="8" t="s">
        <v>222</v>
      </c>
      <c r="C22" s="41" t="n">
        <f aca="false">GL_Cash!D59+Bank_Stmt!D56</f>
        <v>0</v>
      </c>
    </row>
    <row r="24" customFormat="false" ht="15" hidden="false" customHeight="false" outlineLevel="0" collapsed="false">
      <c r="A24" s="6" t="s">
        <v>256</v>
      </c>
      <c r="B24" s="7"/>
      <c r="C24" s="7" t="s">
        <v>257</v>
      </c>
      <c r="D24" s="7"/>
      <c r="E24" s="7" t="s">
        <v>258</v>
      </c>
    </row>
    <row r="25" customFormat="false" ht="15" hidden="false" customHeight="false" outlineLevel="0" collapsed="false">
      <c r="A25" s="16" t="s">
        <v>259</v>
      </c>
      <c r="C25" s="42" t="n">
        <f aca="false">C14</f>
        <v>412.37</v>
      </c>
      <c r="E25" s="42" t="n">
        <f aca="false">C14</f>
        <v>412.37</v>
      </c>
    </row>
    <row r="26" customFormat="false" ht="15" hidden="false" customHeight="false" outlineLevel="0" collapsed="false">
      <c r="A26" s="16" t="s">
        <v>260</v>
      </c>
      <c r="C26" s="42" t="n">
        <f aca="false">-C15</f>
        <v>185</v>
      </c>
      <c r="E26" s="42" t="n">
        <f aca="false">-C15</f>
        <v>185</v>
      </c>
    </row>
    <row r="27" customFormat="false" ht="15" hidden="false" customHeight="false" outlineLevel="0" collapsed="false">
      <c r="A27" s="16" t="s">
        <v>261</v>
      </c>
      <c r="C27" s="42" t="n">
        <f aca="false">-C16</f>
        <v>12600</v>
      </c>
      <c r="E27" s="42" t="n">
        <f aca="false">-C16</f>
        <v>12600</v>
      </c>
    </row>
    <row r="28" customFormat="false" ht="15" hidden="false" customHeight="false" outlineLevel="0" collapsed="false">
      <c r="A28" s="16" t="s">
        <v>262</v>
      </c>
      <c r="C28" s="42" t="n">
        <f aca="false">C17</f>
        <v>270</v>
      </c>
      <c r="E28" s="42" t="n">
        <f aca="false">C17</f>
        <v>270</v>
      </c>
    </row>
    <row r="29" customFormat="false" ht="15" hidden="false" customHeight="false" outlineLevel="0" collapsed="false">
      <c r="A29" s="8" t="s">
        <v>263</v>
      </c>
      <c r="C29" s="36" t="n">
        <f aca="false">C14+C15+C16+C17</f>
        <v>-12102.63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"/>
    <col collapsed="false" customWidth="true" hidden="false" outlineLevel="0" max="11" min="3" style="1" width="11"/>
    <col collapsed="false" customWidth="true" hidden="false" outlineLevel="0" max="12" min="12" style="1" width="3"/>
    <col collapsed="false" customWidth="true" hidden="false" outlineLevel="0" max="13" min="13" style="1" width="40"/>
  </cols>
  <sheetData>
    <row r="1" customFormat="false" ht="17.35" hidden="false" customHeight="false" outlineLevel="0" collapsed="false">
      <c r="A1" s="13" t="s">
        <v>264</v>
      </c>
    </row>
    <row r="2" customFormat="false" ht="15" hidden="false" customHeight="false" outlineLevel="0" collapsed="false">
      <c r="A2" s="4" t="s">
        <v>265</v>
      </c>
    </row>
    <row r="4" customFormat="false" ht="19.5" hidden="false" customHeight="true" outlineLevel="0" collapsed="false">
      <c r="A4" s="6" t="s">
        <v>266</v>
      </c>
      <c r="B4" s="7"/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/>
      <c r="M4" s="7" t="s">
        <v>267</v>
      </c>
    </row>
    <row r="5" customFormat="false" ht="15" hidden="false" customHeight="false" outlineLevel="0" collapsed="false">
      <c r="A5" s="9" t="s">
        <v>268</v>
      </c>
      <c r="C5" s="21" t="n">
        <f aca="false">Monthly_Data!C18+Monthly_Data!C19+Monthly_Data!C20</f>
        <v>1367000</v>
      </c>
      <c r="D5" s="21" t="n">
        <f aca="false">Monthly_Data!D18+Monthly_Data!D19+Monthly_Data!D20</f>
        <v>1393000</v>
      </c>
      <c r="E5" s="21" t="n">
        <f aca="false">Monthly_Data!E18+Monthly_Data!E19+Monthly_Data!E20</f>
        <v>1580000</v>
      </c>
      <c r="F5" s="21" t="n">
        <f aca="false">Monthly_Data!F18+Monthly_Data!F19+Monthly_Data!F20</f>
        <v>1504000</v>
      </c>
      <c r="G5" s="21" t="n">
        <f aca="false">Monthly_Data!G18+Monthly_Data!G19+Monthly_Data!G20</f>
        <v>1646000</v>
      </c>
      <c r="H5" s="21" t="n">
        <f aca="false">Monthly_Data!H18+Monthly_Data!H19+Monthly_Data!H20</f>
        <v>1565000</v>
      </c>
      <c r="I5" s="21" t="n">
        <f aca="false">Monthly_Data!I18+Monthly_Data!I19+Monthly_Data!I20</f>
        <v>1462000</v>
      </c>
      <c r="J5" s="21" t="n">
        <f aca="false">Monthly_Data!J18+Monthly_Data!J19+Monthly_Data!J20</f>
        <v>1592000</v>
      </c>
      <c r="K5" s="21" t="n">
        <f aca="false">Monthly_Data!K18+Monthly_Data!K19+Monthly_Data!K20</f>
        <v>1555000</v>
      </c>
      <c r="M5" s="4"/>
    </row>
    <row r="6" customFormat="false" ht="15" hidden="false" customHeight="false" outlineLevel="0" collapsed="false">
      <c r="A6" s="9" t="s">
        <v>269</v>
      </c>
      <c r="C6" s="21" t="n">
        <f aca="false">Monthly_Data!C6+Monthly_Data!C7+Monthly_Data!C8</f>
        <v>1406000</v>
      </c>
      <c r="D6" s="21" t="n">
        <f aca="false">Monthly_Data!D6+Monthly_Data!D7+Monthly_Data!D8</f>
        <v>1463000</v>
      </c>
      <c r="E6" s="21" t="n">
        <f aca="false">Monthly_Data!E6+Monthly_Data!E7+Monthly_Data!E8</f>
        <v>1615000</v>
      </c>
      <c r="F6" s="21" t="n">
        <f aca="false">Monthly_Data!F6+Monthly_Data!F7+Monthly_Data!F8</f>
        <v>1577000</v>
      </c>
      <c r="G6" s="21" t="n">
        <f aca="false">Monthly_Data!G6+Monthly_Data!G7+Monthly_Data!G8</f>
        <v>1653000</v>
      </c>
      <c r="H6" s="21" t="n">
        <f aca="false">Monthly_Data!H6+Monthly_Data!H7+Monthly_Data!H8</f>
        <v>1634000</v>
      </c>
      <c r="I6" s="21" t="n">
        <f aca="false">Monthly_Data!I6+Monthly_Data!I7+Monthly_Data!I8</f>
        <v>1540000</v>
      </c>
      <c r="J6" s="21" t="n">
        <f aca="false">Monthly_Data!J6+Monthly_Data!J7+Monthly_Data!J8</f>
        <v>1634000</v>
      </c>
      <c r="K6" s="21" t="n">
        <f aca="false">Monthly_Data!K6+Monthly_Data!K7+Monthly_Data!K8</f>
        <v>1596000</v>
      </c>
      <c r="M6" s="4"/>
    </row>
    <row r="7" customFormat="false" ht="15" hidden="false" customHeight="false" outlineLevel="0" collapsed="false">
      <c r="A7" s="9" t="s">
        <v>270</v>
      </c>
      <c r="C7" s="32" t="n">
        <f aca="false">C5/C6-1</f>
        <v>-0.0277382645803699</v>
      </c>
      <c r="D7" s="32" t="n">
        <f aca="false">D5/D6-1</f>
        <v>-0.0478468899521531</v>
      </c>
      <c r="E7" s="32" t="n">
        <f aca="false">E5/E6-1</f>
        <v>-0.021671826625387</v>
      </c>
      <c r="F7" s="32" t="n">
        <f aca="false">F5/F6-1</f>
        <v>-0.046290424857324</v>
      </c>
      <c r="G7" s="32" t="n">
        <f aca="false">G5/G6-1</f>
        <v>-0.00423472474289166</v>
      </c>
      <c r="H7" s="32" t="n">
        <f aca="false">H5/H6-1</f>
        <v>-0.0422276621787026</v>
      </c>
      <c r="I7" s="32" t="n">
        <f aca="false">I5/I6-1</f>
        <v>-0.0506493506493506</v>
      </c>
      <c r="J7" s="32" t="n">
        <f aca="false">J5/J6-1</f>
        <v>-0.0257037943696451</v>
      </c>
      <c r="K7" s="32" t="n">
        <f aca="false">K5/K6-1</f>
        <v>-0.0256892230576441</v>
      </c>
      <c r="M7" s="4" t="s">
        <v>271</v>
      </c>
    </row>
    <row r="8" customFormat="false" ht="15" hidden="false" customHeight="false" outlineLevel="0" collapsed="false">
      <c r="A8" s="9" t="s">
        <v>83</v>
      </c>
      <c r="C8" s="43" t="n">
        <f aca="false">1-(Monthly_Data!C21+Monthly_Data!C22+Monthly_Data!C23)/C5</f>
        <v>0.275054864667154</v>
      </c>
      <c r="D8" s="43" t="n">
        <f aca="false">1-(Monthly_Data!D21+Monthly_Data!D22+Monthly_Data!D23)/D5</f>
        <v>0.271356783919598</v>
      </c>
      <c r="E8" s="43" t="n">
        <f aca="false">1-(Monthly_Data!E21+Monthly_Data!E22+Monthly_Data!E23)/E5</f>
        <v>0.272784810126582</v>
      </c>
      <c r="F8" s="43" t="n">
        <f aca="false">1-(Monthly_Data!F21+Monthly_Data!F22+Monthly_Data!F23)/F5</f>
        <v>0.274601063829787</v>
      </c>
      <c r="G8" s="43" t="n">
        <f aca="false">1-(Monthly_Data!G21+Monthly_Data!G22+Monthly_Data!G23)/G5</f>
        <v>0.270959902794654</v>
      </c>
      <c r="H8" s="43" t="n">
        <f aca="false">1-(Monthly_Data!H21+Monthly_Data!H22+Monthly_Data!H23)/H5</f>
        <v>0.272843450479233</v>
      </c>
      <c r="I8" s="43" t="n">
        <f aca="false">1-(Monthly_Data!I21+Monthly_Data!I22+Monthly_Data!I23)/I5</f>
        <v>0.270861833105335</v>
      </c>
      <c r="J8" s="43" t="n">
        <f aca="false">1-(Monthly_Data!J21+Monthly_Data!J22+Monthly_Data!J23)/J5</f>
        <v>0.27072864321608</v>
      </c>
      <c r="K8" s="43" t="n">
        <f aca="false">1-(Monthly_Data!K21+Monthly_Data!K22+Monthly_Data!K23)/K5</f>
        <v>0.271382636655949</v>
      </c>
      <c r="M8" s="4"/>
    </row>
    <row r="9" customFormat="false" ht="15" hidden="false" customHeight="false" outlineLevel="0" collapsed="false">
      <c r="A9" s="9" t="s">
        <v>84</v>
      </c>
      <c r="C9" s="21" t="n">
        <f aca="false">C5-(Monthly_Data!C21+Monthly_Data!C22+Monthly_Data!C23)-Monthly_Data!C24-Monthly_Data!C25</f>
        <v>165667</v>
      </c>
      <c r="D9" s="21" t="n">
        <f aca="false">D5-(Monthly_Data!D21+Monthly_Data!D22+Monthly_Data!D23)-Monthly_Data!D24-Monthly_Data!D25</f>
        <v>162667</v>
      </c>
      <c r="E9" s="21" t="n">
        <f aca="false">E5-(Monthly_Data!E21+Monthly_Data!E22+Monthly_Data!E23)-Monthly_Data!E24-Monthly_Data!E25</f>
        <v>221667</v>
      </c>
      <c r="F9" s="21" t="n">
        <f aca="false">F5-(Monthly_Data!F21+Monthly_Data!F22+Monthly_Data!F23)-Monthly_Data!F24-Monthly_Data!F25</f>
        <v>194667</v>
      </c>
      <c r="G9" s="21" t="n">
        <f aca="false">G5-(Monthly_Data!G21+Monthly_Data!G22+Monthly_Data!G23)-Monthly_Data!G24-Monthly_Data!G25</f>
        <v>226667</v>
      </c>
      <c r="H9" s="21" t="n">
        <f aca="false">H5-(Monthly_Data!H21+Monthly_Data!H22+Monthly_Data!H23)-Monthly_Data!H24-Monthly_Data!H25</f>
        <v>210667</v>
      </c>
      <c r="I9" s="21" t="n">
        <f aca="false">I5-(Monthly_Data!I21+Monthly_Data!I22+Monthly_Data!I23)-Monthly_Data!I24-Monthly_Data!I25</f>
        <v>174667</v>
      </c>
      <c r="J9" s="21" t="n">
        <f aca="false">J5-(Monthly_Data!J21+Monthly_Data!J22+Monthly_Data!J23)-Monthly_Data!J24-Monthly_Data!J25</f>
        <v>217667</v>
      </c>
      <c r="K9" s="21" t="n">
        <f aca="false">K5-(Monthly_Data!K21+Monthly_Data!K22+Monthly_Data!K23)-Monthly_Data!K24-Monthly_Data!K25</f>
        <v>203667</v>
      </c>
      <c r="M9" s="4"/>
    </row>
    <row r="10" customFormat="false" ht="15" hidden="false" customHeight="false" outlineLevel="0" collapsed="false">
      <c r="A10" s="9" t="s">
        <v>85</v>
      </c>
      <c r="C10" s="23" t="n">
        <f aca="false">C9/C5</f>
        <v>0.121190197512802</v>
      </c>
      <c r="D10" s="23" t="n">
        <f aca="false">D9/D5</f>
        <v>0.116774587221823</v>
      </c>
      <c r="E10" s="23" t="n">
        <f aca="false">E9/E5</f>
        <v>0.140295569620253</v>
      </c>
      <c r="F10" s="23" t="n">
        <f aca="false">F9/F5</f>
        <v>0.129432845744681</v>
      </c>
      <c r="G10" s="23" t="n">
        <f aca="false">G9/G5</f>
        <v>0.137707776427704</v>
      </c>
      <c r="H10" s="23" t="n">
        <f aca="false">H9/H5</f>
        <v>0.134611501597444</v>
      </c>
      <c r="I10" s="23" t="n">
        <f aca="false">I9/I5</f>
        <v>0.119471272229822</v>
      </c>
      <c r="J10" s="23" t="n">
        <f aca="false">J9/J5</f>
        <v>0.136725502512563</v>
      </c>
      <c r="K10" s="23" t="n">
        <f aca="false">K9/K5</f>
        <v>0.130975562700965</v>
      </c>
      <c r="M10" s="4"/>
    </row>
    <row r="11" customFormat="false" ht="15" hidden="false" customHeight="false" outlineLevel="0" collapsed="false">
      <c r="A11" s="9" t="s">
        <v>61</v>
      </c>
      <c r="C11" s="21" t="n">
        <f aca="false">Monthly_Data!C30</f>
        <v>2180000</v>
      </c>
      <c r="D11" s="21" t="n">
        <f aca="false">Monthly_Data!D30</f>
        <v>2230000</v>
      </c>
      <c r="E11" s="21" t="n">
        <f aca="false">Monthly_Data!E30</f>
        <v>2310000</v>
      </c>
      <c r="F11" s="21" t="n">
        <f aca="false">Monthly_Data!F30</f>
        <v>2290000</v>
      </c>
      <c r="G11" s="21" t="n">
        <f aca="false">Monthly_Data!G30</f>
        <v>2350000</v>
      </c>
      <c r="H11" s="21" t="n">
        <f aca="false">Monthly_Data!H30</f>
        <v>2410000</v>
      </c>
      <c r="I11" s="21" t="n">
        <f aca="false">Monthly_Data!I30</f>
        <v>2330000</v>
      </c>
      <c r="J11" s="21" t="n">
        <f aca="false">Monthly_Data!J30</f>
        <v>2420000</v>
      </c>
      <c r="K11" s="21" t="n">
        <f aca="false">Monthly_Data!K30</f>
        <v>2460000</v>
      </c>
      <c r="M11" s="4"/>
    </row>
    <row r="12" customFormat="false" ht="15" hidden="false" customHeight="false" outlineLevel="0" collapsed="false">
      <c r="A12" s="9" t="s">
        <v>272</v>
      </c>
      <c r="C12" s="44" t="n">
        <f aca="false">C11/AVERAGE(C5:C5)*365/12</f>
        <v>48.506461838576</v>
      </c>
      <c r="D12" s="44" t="n">
        <f aca="false">D11/AVERAGE(C5:D5)*365/12</f>
        <v>49.1515700483092</v>
      </c>
      <c r="E12" s="44" t="n">
        <f aca="false">E11/AVERAGE(C5:E5)*365/12</f>
        <v>48.5685483870968</v>
      </c>
      <c r="F12" s="44" t="n">
        <f aca="false">F11/AVERAGE(D5:F5)*365/12</f>
        <v>46.6746705383069</v>
      </c>
      <c r="G12" s="44" t="n">
        <f aca="false">G11/AVERAGE(E5:G5)*365/12</f>
        <v>45.3356236786469</v>
      </c>
      <c r="H12" s="44" t="n">
        <f aca="false">H11/AVERAGE(F5:H5)*365/12</f>
        <v>46.6410392364793</v>
      </c>
      <c r="I12" s="44" t="n">
        <f aca="false">I11/AVERAGE(G5:I5)*365/12</f>
        <v>45.4980740423711</v>
      </c>
      <c r="J12" s="44" t="n">
        <f aca="false">J11/AVERAGE(H5:J5)*365/12</f>
        <v>47.8079670924442</v>
      </c>
      <c r="K12" s="44" t="n">
        <f aca="false">K11/AVERAGE(I5:K5)*365/12</f>
        <v>48.7036233456281</v>
      </c>
      <c r="M12" s="4" t="s">
        <v>273</v>
      </c>
    </row>
    <row r="13" customFormat="false" ht="15" hidden="false" customHeight="false" outlineLevel="0" collapsed="false">
      <c r="A13" s="9" t="s">
        <v>62</v>
      </c>
      <c r="C13" s="21" t="n">
        <f aca="false">Monthly_Data!C31</f>
        <v>1650000</v>
      </c>
      <c r="D13" s="21" t="n">
        <f aca="false">Monthly_Data!D31</f>
        <v>1690000</v>
      </c>
      <c r="E13" s="21" t="n">
        <f aca="false">Monthly_Data!E31</f>
        <v>1720000</v>
      </c>
      <c r="F13" s="21" t="n">
        <f aca="false">Monthly_Data!F31</f>
        <v>1700000</v>
      </c>
      <c r="G13" s="21" t="n">
        <f aca="false">Monthly_Data!G31</f>
        <v>1760000</v>
      </c>
      <c r="H13" s="21" t="n">
        <f aca="false">Monthly_Data!H31</f>
        <v>1780000</v>
      </c>
      <c r="I13" s="21" t="n">
        <f aca="false">Monthly_Data!I31</f>
        <v>1740000</v>
      </c>
      <c r="J13" s="21" t="n">
        <f aca="false">Monthly_Data!J31</f>
        <v>1790000</v>
      </c>
      <c r="K13" s="21" t="n">
        <f aca="false">Monthly_Data!K31</f>
        <v>1810000</v>
      </c>
      <c r="M13" s="4"/>
    </row>
    <row r="14" customFormat="false" ht="15" hidden="false" customHeight="false" outlineLevel="0" collapsed="false">
      <c r="A14" s="9" t="s">
        <v>274</v>
      </c>
      <c r="C14" s="45" t="n">
        <f aca="false">C13/AVERAGE(C25:C25)*365/12</f>
        <v>50.6432896064581</v>
      </c>
      <c r="D14" s="45" t="n">
        <f aca="false">D13/AVERAGE(C25:D25)*365/12</f>
        <v>51.2504154204055</v>
      </c>
      <c r="E14" s="45" t="n">
        <f aca="false">E13/AVERAGE(C25:E25)*365/12</f>
        <v>49.7464342313788</v>
      </c>
      <c r="F14" s="45" t="n">
        <f aca="false">F13/AVERAGE(D25:F25)*365/12</f>
        <v>47.6574500768049</v>
      </c>
      <c r="G14" s="45" t="n">
        <f aca="false">G13/AVERAGE(E25:G25)*365/12</f>
        <v>46.6860465116279</v>
      </c>
      <c r="H14" s="45" t="n">
        <f aca="false">H13/AVERAGE(F25:H25)*365/12</f>
        <v>47.3680373286673</v>
      </c>
      <c r="I14" s="45" t="n">
        <f aca="false">I13/AVERAGE(G25:I25)*365/12</f>
        <v>46.6436545240893</v>
      </c>
      <c r="J14" s="45" t="n">
        <f aca="false">J13/AVERAGE(H25:J25)*365/12</f>
        <v>48.5401188707281</v>
      </c>
      <c r="K14" s="45" t="n">
        <f aca="false">K13/AVERAGE(I25:K25)*365/12</f>
        <v>49.155505952381</v>
      </c>
      <c r="M14" s="4"/>
    </row>
    <row r="15" customFormat="false" ht="15" hidden="false" customHeight="false" outlineLevel="0" collapsed="false">
      <c r="A15" s="9" t="s">
        <v>63</v>
      </c>
      <c r="C15" s="21" t="n">
        <f aca="false">Monthly_Data!C32</f>
        <v>1150000</v>
      </c>
      <c r="D15" s="21" t="n">
        <f aca="false">Monthly_Data!D32</f>
        <v>1170000</v>
      </c>
      <c r="E15" s="21" t="n">
        <f aca="false">Monthly_Data!E32</f>
        <v>1210000</v>
      </c>
      <c r="F15" s="21" t="n">
        <f aca="false">Monthly_Data!F32</f>
        <v>1190000</v>
      </c>
      <c r="G15" s="21" t="n">
        <f aca="false">Monthly_Data!G32</f>
        <v>1230000</v>
      </c>
      <c r="H15" s="21" t="n">
        <f aca="false">Monthly_Data!H32</f>
        <v>1250000</v>
      </c>
      <c r="I15" s="21" t="n">
        <f aca="false">Monthly_Data!I32</f>
        <v>1200000</v>
      </c>
      <c r="J15" s="21" t="n">
        <f aca="false">Monthly_Data!J32</f>
        <v>1240000</v>
      </c>
      <c r="K15" s="21" t="n">
        <f aca="false">Monthly_Data!K32</f>
        <v>1260000</v>
      </c>
      <c r="M15" s="4"/>
    </row>
    <row r="16" customFormat="false" ht="15" hidden="false" customHeight="false" outlineLevel="0" collapsed="false">
      <c r="A16" s="9" t="s">
        <v>275</v>
      </c>
      <c r="C16" s="45" t="n">
        <f aca="false">C15/AVERAGE(C25:C25)*365/12</f>
        <v>35.2968382105617</v>
      </c>
      <c r="D16" s="45" t="n">
        <f aca="false">D15/AVERAGE(C25:D25)*365/12</f>
        <v>35.4810568295115</v>
      </c>
      <c r="E16" s="45" t="n">
        <f aca="false">E15/AVERAGE(C25:E25)*365/12</f>
        <v>34.9960380348653</v>
      </c>
      <c r="F16" s="45" t="n">
        <f aca="false">F15/AVERAGE(D25:F25)*365/12</f>
        <v>33.3602150537634</v>
      </c>
      <c r="G16" s="45" t="n">
        <f aca="false">G15/AVERAGE(E25:G25)*365/12</f>
        <v>32.6271802325581</v>
      </c>
      <c r="H16" s="45" t="n">
        <f aca="false">H15/AVERAGE(F25:H25)*365/12</f>
        <v>33.2640711577719</v>
      </c>
      <c r="I16" s="45" t="n">
        <f aca="false">I15/AVERAGE(G25:I25)*365/12</f>
        <v>32.1680376028202</v>
      </c>
      <c r="J16" s="45" t="n">
        <f aca="false">J15/AVERAGE(H25:J25)*365/12</f>
        <v>33.6255572065379</v>
      </c>
      <c r="K16" s="45" t="n">
        <f aca="false">K15/AVERAGE(I25:K25)*365/12</f>
        <v>34.21875</v>
      </c>
      <c r="M16" s="4"/>
    </row>
    <row r="17" customFormat="false" ht="15" hidden="false" customHeight="false" outlineLevel="0" collapsed="false">
      <c r="A17" s="9" t="s">
        <v>276</v>
      </c>
      <c r="C17" s="45" t="n">
        <f aca="false">C12+C14-C16</f>
        <v>63.8529132344724</v>
      </c>
      <c r="D17" s="45" t="n">
        <f aca="false">D12+D14-D16</f>
        <v>64.9209286392032</v>
      </c>
      <c r="E17" s="45" t="n">
        <f aca="false">E12+E14-E16</f>
        <v>63.3189445836103</v>
      </c>
      <c r="F17" s="45" t="n">
        <f aca="false">F12+F14-F16</f>
        <v>60.9719055613484</v>
      </c>
      <c r="G17" s="45" t="n">
        <f aca="false">G12+G14-G16</f>
        <v>59.3944899577167</v>
      </c>
      <c r="H17" s="45" t="n">
        <f aca="false">H12+H14-H16</f>
        <v>60.7450054073746</v>
      </c>
      <c r="I17" s="45" t="n">
        <f aca="false">I12+I14-I16</f>
        <v>59.9736909636402</v>
      </c>
      <c r="J17" s="45" t="n">
        <f aca="false">J12+J14-J16</f>
        <v>62.7225287566345</v>
      </c>
      <c r="K17" s="45" t="n">
        <f aca="false">K12+K14-K16</f>
        <v>63.6403792980091</v>
      </c>
      <c r="M17" s="4"/>
    </row>
    <row r="18" customFormat="false" ht="15" hidden="false" customHeight="false" outlineLevel="0" collapsed="false">
      <c r="A18" s="9" t="s">
        <v>64</v>
      </c>
      <c r="C18" s="21" t="n">
        <f aca="false">Monthly_Data!C33</f>
        <v>6900000</v>
      </c>
      <c r="D18" s="21" t="n">
        <f aca="false">Monthly_Data!D33</f>
        <v>7100000</v>
      </c>
      <c r="E18" s="21" t="n">
        <f aca="false">Monthly_Data!E33</f>
        <v>7300000</v>
      </c>
      <c r="F18" s="21" t="n">
        <f aca="false">Monthly_Data!F33</f>
        <v>7200000</v>
      </c>
      <c r="G18" s="21" t="n">
        <f aca="false">Monthly_Data!G33</f>
        <v>7500000</v>
      </c>
      <c r="H18" s="21" t="n">
        <f aca="false">Monthly_Data!H33</f>
        <v>7700000</v>
      </c>
      <c r="I18" s="21" t="n">
        <f aca="false">Monthly_Data!I33</f>
        <v>7600000</v>
      </c>
      <c r="J18" s="21" t="n">
        <f aca="false">Monthly_Data!J33</f>
        <v>7800000</v>
      </c>
      <c r="K18" s="21" t="n">
        <f aca="false">Monthly_Data!K33</f>
        <v>7900000</v>
      </c>
      <c r="M18" s="4" t="s">
        <v>277</v>
      </c>
    </row>
    <row r="19" customFormat="false" ht="15" hidden="false" customHeight="false" outlineLevel="0" collapsed="false">
      <c r="A19" s="9" t="s">
        <v>278</v>
      </c>
      <c r="C19" s="45" t="n">
        <f aca="false">C18/AVERAGE(C5:C5)</f>
        <v>5.04754937820044</v>
      </c>
      <c r="D19" s="45" t="n">
        <f aca="false">D18/AVERAGE(C5:D5)</f>
        <v>5.14492753623188</v>
      </c>
      <c r="E19" s="45" t="n">
        <f aca="false">E18/AVERAGE(C5:E5)</f>
        <v>5.04608294930876</v>
      </c>
      <c r="F19" s="45" t="n">
        <f aca="false">F18/AVERAGE(D5:F5)</f>
        <v>4.82465937011392</v>
      </c>
      <c r="G19" s="45" t="n">
        <f aca="false">G18/AVERAGE(E5:G5)</f>
        <v>4.7568710359408</v>
      </c>
      <c r="H19" s="45" t="n">
        <f aca="false">H18/AVERAGE(F5:H5)</f>
        <v>4.89925768822906</v>
      </c>
      <c r="I19" s="45" t="n">
        <f aca="false">I18/AVERAGE(G5:I5)</f>
        <v>4.87909265996148</v>
      </c>
      <c r="J19" s="45" t="n">
        <f aca="false">J18/AVERAGE(H5:J5)</f>
        <v>5.06603160857328</v>
      </c>
      <c r="K19" s="45" t="n">
        <f aca="false">K18/AVERAGE(I5:K5)</f>
        <v>5.14211325667173</v>
      </c>
      <c r="M19" s="4"/>
    </row>
    <row r="20" customFormat="false" ht="15" hidden="false" customHeight="false" outlineLevel="0" collapsed="false">
      <c r="A20" s="9" t="s">
        <v>279</v>
      </c>
      <c r="C20" s="21" t="n">
        <f aca="false">Monthly_Data!C34</f>
        <v>598000</v>
      </c>
      <c r="D20" s="21" t="n">
        <f aca="false">Monthly_Data!D34</f>
        <v>571000</v>
      </c>
      <c r="E20" s="21" t="n">
        <f aca="false">Monthly_Data!E34</f>
        <v>552000</v>
      </c>
      <c r="F20" s="21" t="n">
        <f aca="false">Monthly_Data!F34</f>
        <v>610000</v>
      </c>
      <c r="G20" s="21" t="n">
        <f aca="false">Monthly_Data!G34</f>
        <v>566000</v>
      </c>
      <c r="H20" s="21" t="n">
        <f aca="false">Monthly_Data!H34</f>
        <v>548000</v>
      </c>
      <c r="I20" s="21" t="n">
        <f aca="false">Monthly_Data!I34</f>
        <v>602000</v>
      </c>
      <c r="J20" s="21" t="n">
        <f aca="false">Monthly_Data!J34</f>
        <v>598240</v>
      </c>
      <c r="K20" s="21" t="n">
        <f aca="false">Monthly_Data!K34</f>
        <v>566427.25</v>
      </c>
      <c r="M20" s="4" t="s">
        <v>280</v>
      </c>
    </row>
    <row r="21" customFormat="false" ht="15" hidden="false" customHeight="false" outlineLevel="0" collapsed="false">
      <c r="A21" s="9" t="s">
        <v>66</v>
      </c>
      <c r="C21" s="21" t="n">
        <f aca="false">Monthly_Data!C35</f>
        <v>820000</v>
      </c>
      <c r="D21" s="21" t="n">
        <f aca="false">Monthly_Data!D35</f>
        <v>860000</v>
      </c>
      <c r="E21" s="21" t="n">
        <f aca="false">Monthly_Data!E35</f>
        <v>900000</v>
      </c>
      <c r="F21" s="21" t="n">
        <f aca="false">Monthly_Data!F35</f>
        <v>880000</v>
      </c>
      <c r="G21" s="21" t="n">
        <f aca="false">Monthly_Data!G35</f>
        <v>930000</v>
      </c>
      <c r="H21" s="21" t="n">
        <f aca="false">Monthly_Data!H35</f>
        <v>950000</v>
      </c>
      <c r="I21" s="21" t="n">
        <f aca="false">Monthly_Data!I35</f>
        <v>920000</v>
      </c>
      <c r="J21" s="21" t="n">
        <f aca="false">Monthly_Data!J35</f>
        <v>940000</v>
      </c>
      <c r="K21" s="21" t="n">
        <f aca="false">Monthly_Data!K35</f>
        <v>960000</v>
      </c>
      <c r="M21" s="4"/>
    </row>
    <row r="22" customFormat="false" ht="15" hidden="false" customHeight="false" outlineLevel="0" collapsed="false">
      <c r="A22" s="9" t="s">
        <v>281</v>
      </c>
      <c r="C22" s="21" t="n">
        <f aca="false">MIN(Monthly_Data!C37,C11*0.88*0.8+600000)-C21</f>
        <v>180000</v>
      </c>
      <c r="D22" s="21" t="n">
        <f aca="false">MIN(Monthly_Data!D37,D11*0.88*0.8+600000)-D21</f>
        <v>140000</v>
      </c>
      <c r="E22" s="21" t="n">
        <f aca="false">MIN(Monthly_Data!E37,E11*0.88*0.8+600000)-E21</f>
        <v>100000</v>
      </c>
      <c r="F22" s="21" t="n">
        <f aca="false">MIN(Monthly_Data!F37,F11*0.88*0.8+600000)-F21</f>
        <v>120000</v>
      </c>
      <c r="G22" s="21" t="n">
        <f aca="false">MIN(Monthly_Data!G37,G11*0.88*0.8+600000)-G21</f>
        <v>70000</v>
      </c>
      <c r="H22" s="21" t="n">
        <f aca="false">MIN(Monthly_Data!H37,H11*0.88*0.8+600000)-H21</f>
        <v>50000</v>
      </c>
      <c r="I22" s="21" t="n">
        <f aca="false">MIN(Monthly_Data!I37,I11*0.88*0.8+600000)-I21</f>
        <v>80000</v>
      </c>
      <c r="J22" s="21" t="n">
        <f aca="false">MIN(Monthly_Data!J37,J11*0.88*0.8+600000)-J21</f>
        <v>60000</v>
      </c>
      <c r="K22" s="21" t="n">
        <f aca="false">MIN(Monthly_Data!K37,K11*0.88*0.8+600000)-K21</f>
        <v>40000</v>
      </c>
      <c r="M22" s="4" t="s">
        <v>282</v>
      </c>
    </row>
    <row r="23" customFormat="false" ht="15" hidden="false" customHeight="false" outlineLevel="0" collapsed="false">
      <c r="A23" s="9" t="s">
        <v>283</v>
      </c>
      <c r="C23" s="29" t="n">
        <f aca="false">C20+C22</f>
        <v>778000</v>
      </c>
      <c r="D23" s="29" t="n">
        <f aca="false">D20+D22</f>
        <v>711000</v>
      </c>
      <c r="E23" s="29" t="n">
        <f aca="false">E20+E22</f>
        <v>652000</v>
      </c>
      <c r="F23" s="29" t="n">
        <f aca="false">F20+F22</f>
        <v>730000</v>
      </c>
      <c r="G23" s="29" t="n">
        <f aca="false">G20+G22</f>
        <v>636000</v>
      </c>
      <c r="H23" s="29" t="n">
        <f aca="false">H20+H22</f>
        <v>598000</v>
      </c>
      <c r="I23" s="29" t="n">
        <f aca="false">I20+I22</f>
        <v>682000</v>
      </c>
      <c r="J23" s="29" t="n">
        <f aca="false">J20+J22</f>
        <v>658240</v>
      </c>
      <c r="K23" s="29" t="n">
        <f aca="false">K20+K22</f>
        <v>606427.25</v>
      </c>
      <c r="M23" s="4"/>
    </row>
    <row r="25" customFormat="false" ht="15" hidden="false" customHeight="false" outlineLevel="0" collapsed="false">
      <c r="A25" s="4" t="s">
        <v>284</v>
      </c>
      <c r="C25" s="46" t="n">
        <f aca="false">Monthly_Data!C21+Monthly_Data!C22+Monthly_Data!C23</f>
        <v>991000</v>
      </c>
      <c r="D25" s="46" t="n">
        <f aca="false">Monthly_Data!D21+Monthly_Data!D22+Monthly_Data!D23</f>
        <v>1015000</v>
      </c>
      <c r="E25" s="46" t="n">
        <f aca="false">Monthly_Data!E21+Monthly_Data!E22+Monthly_Data!E23</f>
        <v>1149000</v>
      </c>
      <c r="F25" s="46" t="n">
        <f aca="false">Monthly_Data!F21+Monthly_Data!F22+Monthly_Data!F23</f>
        <v>1091000</v>
      </c>
      <c r="G25" s="46" t="n">
        <f aca="false">Monthly_Data!G21+Monthly_Data!G22+Monthly_Data!G23</f>
        <v>1200000</v>
      </c>
      <c r="H25" s="46" t="n">
        <f aca="false">Monthly_Data!H21+Monthly_Data!H22+Monthly_Data!H23</f>
        <v>1138000</v>
      </c>
      <c r="I25" s="46" t="n">
        <f aca="false">Monthly_Data!I21+Monthly_Data!I22+Monthly_Data!I23</f>
        <v>1066000</v>
      </c>
      <c r="J25" s="46" t="n">
        <f aca="false">Monthly_Data!J21+Monthly_Data!J22+Monthly_Data!J23</f>
        <v>1161000</v>
      </c>
      <c r="K25" s="46" t="n">
        <f aca="false">Monthly_Data!K21+Monthly_Data!K22+Monthly_Data!K23</f>
        <v>1133000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2026-10-23T22:54:40Z</dcterms:created>
  <dc:creator>openpyxl</dc:creator>
  <dc:description/>
  <dc:language>en-US</dc:language>
  <cp:lastModifiedBy/>
  <dcterms:modified xsi:type="dcterms:W3CDTF">2026-10-23T22:54:40Z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