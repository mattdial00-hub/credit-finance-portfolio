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13_Week_CF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<sst xmlns="http://schemas.openxmlformats.org/spreadsheetml/2006/main" count="151" uniqueCount="138">
  <si>
    <t xml:space="preserve">13-Week Cash Flow Forecast</t>
  </si>
  <si>
    <t xml:space="preserve">Brazos Bend Fabrication, LLC  |  Weeks ending October 30, 2026 to January 22, 2027</t>
  </si>
  <si>
    <t xml:space="preserve">Prepared by Matthew Dial  |  Portfolio work sample  |  October 2026</t>
  </si>
  <si>
    <t xml:space="preserve">DISCLAIMER: Brazos Bend Fabrication, LLC and all figures are fictional and were created for portfolio demonstration only. No real company or employer data is used.</t>
  </si>
  <si>
    <t xml:space="preserve">Tab</t>
  </si>
  <si>
    <t xml:space="preserve">What it shows</t>
  </si>
  <si>
    <t xml:space="preserve">Assumptions</t>
  </si>
  <si>
    <t xml:space="preserve">Opening balances, collection curve, payment timing, revolver policy, and borrowing base rates</t>
  </si>
  <si>
    <t xml:space="preserve">13_Week_CF</t>
  </si>
  <si>
    <t xml:space="preserve">Weekly receipts, disbursements, revolver draws and repayments, borrowing base, and liquidity</t>
  </si>
  <si>
    <t xml:space="preserve">Summary</t>
  </si>
  <si>
    <t xml:space="preserve">Liquidity by week, low point, and key funding events</t>
  </si>
  <si>
    <t xml:space="preserve">How it works</t>
  </si>
  <si>
    <t xml:space="preserve">Collections come from a lag curve applied to weekly billings, including nine weeks of billing history.</t>
  </si>
  <si>
    <t xml:space="preserve">Materials payments lag billings by the DPO-based number of weeks.</t>
  </si>
  <si>
    <t xml:space="preserve">The revolver draws to protect minimum cash and sweeps cash above the target, limited by the lesser of commitment and borrowing base.</t>
  </si>
  <si>
    <t xml:space="preserve">Color legend</t>
  </si>
  <si>
    <t xml:space="preserve">Blue text</t>
  </si>
  <si>
    <t xml:space="preserve">Input or assumption</t>
  </si>
  <si>
    <t xml:space="preserve">Black text</t>
  </si>
  <si>
    <t xml:space="preserve">Formula on the same sheet</t>
  </si>
  <si>
    <t xml:space="preserve">Green text</t>
  </si>
  <si>
    <t xml:space="preserve">Formula linking to another sheet</t>
  </si>
  <si>
    <t xml:space="preserve">Yellow fill</t>
  </si>
  <si>
    <t xml:space="preserve">Key output or check</t>
  </si>
  <si>
    <t xml:space="preserve">13-Week Assumptions</t>
  </si>
  <si>
    <t xml:space="preserve">Blue cells are inputs</t>
  </si>
  <si>
    <t xml:space="preserve">Opening balances (October 23, 2026)</t>
  </si>
  <si>
    <t xml:space="preserve">Value</t>
  </si>
  <si>
    <t xml:space="preserve">Notes</t>
  </si>
  <si>
    <t xml:space="preserve">Opening cash</t>
  </si>
  <si>
    <t xml:space="preserve">Bank balance less outstanding checks, 10/23/2026</t>
  </si>
  <si>
    <t xml:space="preserve">Opening revolver balance</t>
  </si>
  <si>
    <t xml:space="preserve">Unchanged since 9/30 (ties to Package 02)</t>
  </si>
  <si>
    <t xml:space="preserve">Opening accounts receivable</t>
  </si>
  <si>
    <t xml:space="preserve">10/23 aging</t>
  </si>
  <si>
    <t xml:space="preserve">Collection curve (% of a week's billings collected)</t>
  </si>
  <si>
    <t xml:space="preserve">Collected 3 weeks after billing</t>
  </si>
  <si>
    <t xml:space="preserve">From trailing 6-month payment history</t>
  </si>
  <si>
    <t xml:space="preserve">Collected 4 weeks after billing</t>
  </si>
  <si>
    <t xml:space="preserve">Collected 5 weeks after billing</t>
  </si>
  <si>
    <t xml:space="preserve">Collected 6 weeks after billing</t>
  </si>
  <si>
    <t xml:space="preserve">Collected 7 weeks after billing</t>
  </si>
  <si>
    <t xml:space="preserve">Collected 8 weeks after billing</t>
  </si>
  <si>
    <t xml:space="preserve">Collected 9 weeks after billing</t>
  </si>
  <si>
    <t xml:space="preserve">Total (must be 100%)</t>
  </si>
  <si>
    <t xml:space="preserve">Disbursement timing</t>
  </si>
  <si>
    <t xml:space="preserve">Materials purchases % of billings</t>
  </si>
  <si>
    <t xml:space="preserve">Steel, consumables, outside processing</t>
  </si>
  <si>
    <t xml:space="preserve">Materials paid (weeks after billing)</t>
  </si>
  <si>
    <t xml:space="preserve">DPO of about 34 days</t>
  </si>
  <si>
    <t xml:space="preserve">Biweekly payroll incl. taxes and benefits</t>
  </si>
  <si>
    <t xml:space="preserve">Paid on odd weeks</t>
  </si>
  <si>
    <t xml:space="preserve">Weekly operating expenses</t>
  </si>
  <si>
    <t xml:space="preserve">Utilities, freight, supplies, repairs, insurance installments</t>
  </si>
  <si>
    <t xml:space="preserve">Monthly rent</t>
  </si>
  <si>
    <t xml:space="preserve">Paid first week of month</t>
  </si>
  <si>
    <t xml:space="preserve">Existing term loan monthly P&amp;I</t>
  </si>
  <si>
    <t xml:space="preserve">Paid mid-month</t>
  </si>
  <si>
    <t xml:space="preserve">Weekly scrap metal receipts</t>
  </si>
  <si>
    <t xml:space="preserve">Revolver policy</t>
  </si>
  <si>
    <t xml:space="preserve">Minimum cash (draw below this)</t>
  </si>
  <si>
    <t xml:space="preserve">Treasury policy</t>
  </si>
  <si>
    <t xml:space="preserve">Target cash (sweep above this)</t>
  </si>
  <si>
    <t xml:space="preserve">Excess repays the line</t>
  </si>
  <si>
    <t xml:space="preserve">Draw / repay increment</t>
  </si>
  <si>
    <t xml:space="preserve">Bank minimum advance</t>
  </si>
  <si>
    <t xml:space="preserve">Revolver rate</t>
  </si>
  <si>
    <t xml:space="preserve">SOFR + 2.75%, illustrative</t>
  </si>
  <si>
    <t xml:space="preserve">Eligible A/R % of total</t>
  </si>
  <si>
    <t xml:space="preserve">Excludes over-90 and contra accounts</t>
  </si>
  <si>
    <t xml:space="preserve">A/R advance rate</t>
  </si>
  <si>
    <t xml:space="preserve">Inventory availability (capped)</t>
  </si>
  <si>
    <t xml:space="preserve">Inventory sublimit</t>
  </si>
  <si>
    <t xml:space="preserve">Liquidity floor for escalation</t>
  </si>
  <si>
    <t xml:space="preserve">Cash + availability; below this, notify CFO</t>
  </si>
  <si>
    <t xml:space="preserve">13-Week Cash Flow</t>
  </si>
  <si>
    <t xml:space="preserve">History columns (grey headers) feed the collection and payment lags. Forecast weeks 1 to 13.</t>
  </si>
  <si>
    <t xml:space="preserve">Week</t>
  </si>
  <si>
    <t xml:space="preserve">13-wk total</t>
  </si>
  <si>
    <t xml:space="preserve">Week ending</t>
  </si>
  <si>
    <t xml:space="preserve">Weekly billings (invoices issued)</t>
  </si>
  <si>
    <t xml:space="preserve">Billings</t>
  </si>
  <si>
    <t xml:space="preserve">Weeks 5, 9, and 10 reflect Thanksgiving and the year-end shutdown.</t>
  </si>
  <si>
    <t xml:space="preserve">Receipts</t>
  </si>
  <si>
    <t xml:space="preserve">Collections on billings</t>
  </si>
  <si>
    <t xml:space="preserve">Scrap metal sales</t>
  </si>
  <si>
    <t xml:space="preserve">New equipment term loan proceeds</t>
  </si>
  <si>
    <t xml:space="preserve">Guarantor equity contribution</t>
  </si>
  <si>
    <t xml:space="preserve">Total receipts</t>
  </si>
  <si>
    <t xml:space="preserve">Disbursements</t>
  </si>
  <si>
    <t xml:space="preserve">Materials and outside processing</t>
  </si>
  <si>
    <t xml:space="preserve">Payroll, taxes, and benefits</t>
  </si>
  <si>
    <t xml:space="preserve">Rent</t>
  </si>
  <si>
    <t xml:space="preserve">Operating expenses</t>
  </si>
  <si>
    <t xml:space="preserve">Existing term loan P&amp;I</t>
  </si>
  <si>
    <t xml:space="preserve">Revolver interest</t>
  </si>
  <si>
    <t xml:space="preserve">Maintenance capex</t>
  </si>
  <si>
    <t xml:space="preserve">New equipment (deposit, then balance at delivery)</t>
  </si>
  <si>
    <t xml:space="preserve">Year-end bonuses</t>
  </si>
  <si>
    <t xml:space="preserve">Insurance renewal</t>
  </si>
  <si>
    <t xml:space="preserve">Q4 tax distributions to members</t>
  </si>
  <si>
    <t xml:space="preserve">Total disbursements</t>
  </si>
  <si>
    <t xml:space="preserve">Cash and revolver</t>
  </si>
  <si>
    <t xml:space="preserve">Net cash flow before revolver</t>
  </si>
  <si>
    <t xml:space="preserve">Beginning cash</t>
  </si>
  <si>
    <t xml:space="preserve">Cash before revolver</t>
  </si>
  <si>
    <t xml:space="preserve">Revolver beginning balance</t>
  </si>
  <si>
    <t xml:space="preserve">Revolver commitment</t>
  </si>
  <si>
    <t xml:space="preserve">Line increase to $1.5MM effective at loan closing, week 3</t>
  </si>
  <si>
    <t xml:space="preserve">Accounts receivable (end of week)</t>
  </si>
  <si>
    <t xml:space="preserve">Borrowing base</t>
  </si>
  <si>
    <t xml:space="preserve">Availability before draw</t>
  </si>
  <si>
    <t xml:space="preserve">Revolver draw (repayment)</t>
  </si>
  <si>
    <t xml:space="preserve">Revolver ending balance</t>
  </si>
  <si>
    <t xml:space="preserve">Ending cash</t>
  </si>
  <si>
    <t xml:space="preserve">Ending availability</t>
  </si>
  <si>
    <t xml:space="preserve">Total liquidity (cash + availability)</t>
  </si>
  <si>
    <t xml:space="preserve">Liquidity status</t>
  </si>
  <si>
    <t xml:space="preserve">13-Week Summary</t>
  </si>
  <si>
    <t xml:space="preserve">Links to 13_Week_CF</t>
  </si>
  <si>
    <t xml:space="preserve">Key results</t>
  </si>
  <si>
    <t xml:space="preserve">Opening cash (10/23/2026)</t>
  </si>
  <si>
    <t xml:space="preserve">Net revolver draws (repayments)</t>
  </si>
  <si>
    <t xml:space="preserve">Ending cash (1/22/2027)</t>
  </si>
  <si>
    <t xml:space="preserve">Week 11 equipment balance ($3.2MM) is fully funded by the $2.8MM loan and $400K guarantor contribution; the $300K deposit in week 4 is the company's equity</t>
  </si>
  <si>
    <t xml:space="preserve">Cash proof (must be zero)</t>
  </si>
  <si>
    <t xml:space="preserve">Ending revolver balance</t>
  </si>
  <si>
    <t xml:space="preserve">Peak revolver balance</t>
  </si>
  <si>
    <t xml:space="preserve">Year-end shutdown and January tax distributions drive peak usage</t>
  </si>
  <si>
    <t xml:space="preserve">Lowest weekly liquidity</t>
  </si>
  <si>
    <t xml:space="preserve">Escalate to CFO if liquidity falls below the floor</t>
  </si>
  <si>
    <t xml:space="preserve">Week of lowest liquidity</t>
  </si>
  <si>
    <t xml:space="preserve">Liquidity floor</t>
  </si>
  <si>
    <t xml:space="preserve">Weeks below floor</t>
  </si>
  <si>
    <t xml:space="preserve">Total collections</t>
  </si>
  <si>
    <t xml:space="preserve">Total billings</t>
  </si>
  <si>
    <t xml:space="preserve">Liquidity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</si>
</sst>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"/>
    <numFmt numFmtId="168" formatCode="mm/dd/yy"/>
    <numFmt numFmtId="169" formatCode="mm/dd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808080"/>
        <bgColor rgb="FF969696"/>
      </patternFill>
    </fill>
    <fill>
      <patternFill patternType="solid">
        <fgColor rgb="FFD9E2F3"/>
        <bgColor rgb="FFD9EAD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90"/>
  </cols>
  <sheetData>
    <row r="2" customFormat="false" ht="22.0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6" customFormat="false" ht="30" hidden="false" customHeight="true" outlineLevel="0" collapsed="false">
      <c r="B6" s="5" t="s">
        <v>3</v>
      </c>
      <c r="C6" s="5"/>
    </row>
    <row r="8" customFormat="false" ht="15" hidden="false" customHeight="false" outlineLevel="0" collapsed="false">
      <c r="B8" s="6" t="s">
        <v>4</v>
      </c>
      <c r="C8" s="7" t="s">
        <v>5</v>
      </c>
    </row>
    <row r="9" customFormat="false" ht="15" hidden="false" customHeight="false" outlineLevel="0" collapsed="false">
      <c r="B9" s="8" t="s">
        <v>6</v>
      </c>
      <c r="C9" s="9" t="s">
        <v>7</v>
      </c>
    </row>
    <row r="10" customFormat="false" ht="15" hidden="false" customHeight="false" outlineLevel="0" collapsed="false">
      <c r="B10" s="8" t="s">
        <v>8</v>
      </c>
      <c r="C10" s="9" t="s">
        <v>9</v>
      </c>
    </row>
    <row r="11" customFormat="false" ht="15" hidden="false" customHeight="false" outlineLevel="0" collapsed="false">
      <c r="B11" s="8" t="s">
        <v>10</v>
      </c>
      <c r="C11" s="9" t="s">
        <v>11</v>
      </c>
    </row>
    <row r="13" customFormat="false" ht="15" hidden="false" customHeight="false" outlineLevel="0" collapsed="false">
      <c r="B13" s="6" t="s">
        <v>12</v>
      </c>
      <c r="C13" s="7"/>
    </row>
    <row r="14" customFormat="false" ht="15" hidden="false" customHeight="false" outlineLevel="0" collapsed="false">
      <c r="C14" s="9" t="s">
        <v>13</v>
      </c>
    </row>
    <row r="15" customFormat="false" ht="15" hidden="false" customHeight="false" outlineLevel="0" collapsed="false">
      <c r="C15" s="9" t="s">
        <v>14</v>
      </c>
    </row>
    <row r="16" customFormat="false" ht="15" hidden="false" customHeight="false" outlineLevel="0" collapsed="false">
      <c r="C16" s="9" t="s">
        <v>15</v>
      </c>
    </row>
    <row r="18" customFormat="false" ht="15" hidden="false" customHeight="false" outlineLevel="0" collapsed="false">
      <c r="B18" s="6" t="s">
        <v>16</v>
      </c>
      <c r="C18" s="7"/>
    </row>
    <row r="19" customFormat="false" ht="15" hidden="false" customHeight="false" outlineLevel="0" collapsed="false">
      <c r="B19" s="10" t="s">
        <v>17</v>
      </c>
      <c r="C19" s="9" t="s">
        <v>18</v>
      </c>
    </row>
    <row r="20" customFormat="false" ht="15" hidden="false" customHeight="false" outlineLevel="0" collapsed="false">
      <c r="B20" s="9" t="s">
        <v>19</v>
      </c>
      <c r="C20" s="9" t="s">
        <v>20</v>
      </c>
    </row>
    <row r="21" customFormat="false" ht="15" hidden="false" customHeight="false" outlineLevel="0" collapsed="false">
      <c r="B21" s="11" t="s">
        <v>21</v>
      </c>
      <c r="C21" s="9" t="s">
        <v>22</v>
      </c>
    </row>
    <row r="22" customFormat="false" ht="15" hidden="false" customHeight="false" outlineLevel="0" collapsed="false">
      <c r="B22" s="12" t="s">
        <v>23</v>
      </c>
      <c r="C22" s="9" t="s">
        <v>24</v>
      </c>
    </row>
  </sheetData>
  <mergeCells count="1">
    <mergeCell ref="B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52"/>
  </cols>
  <sheetData>
    <row r="1" customFormat="false" ht="17.35" hidden="false" customHeight="false" outlineLevel="0" collapsed="false">
      <c r="A1" s="13" t="s">
        <v>25</v>
      </c>
    </row>
    <row r="2" customFormat="false" ht="15" hidden="false" customHeight="false" outlineLevel="0" collapsed="false">
      <c r="A2" s="4" t="s">
        <v>26</v>
      </c>
    </row>
    <row r="4" customFormat="false" ht="15" hidden="false" customHeight="false" outlineLevel="0" collapsed="false">
      <c r="A4" s="6" t="s">
        <v>27</v>
      </c>
      <c r="B4" s="7" t="s">
        <v>28</v>
      </c>
      <c r="C4" s="7" t="s">
        <v>29</v>
      </c>
    </row>
    <row r="5" customFormat="false" ht="15" hidden="false" customHeight="false" outlineLevel="0" collapsed="false">
      <c r="A5" s="9" t="s">
        <v>30</v>
      </c>
      <c r="B5" s="14" t="n">
        <v>585000</v>
      </c>
      <c r="C5" s="4" t="s">
        <v>31</v>
      </c>
    </row>
    <row r="6" customFormat="false" ht="15" hidden="false" customHeight="false" outlineLevel="0" collapsed="false">
      <c r="A6" s="9" t="s">
        <v>32</v>
      </c>
      <c r="B6" s="14" t="n">
        <v>960000</v>
      </c>
      <c r="C6" s="4" t="s">
        <v>33</v>
      </c>
    </row>
    <row r="7" customFormat="false" ht="15" hidden="false" customHeight="false" outlineLevel="0" collapsed="false">
      <c r="A7" s="9" t="s">
        <v>34</v>
      </c>
      <c r="B7" s="14" t="n">
        <v>2470000</v>
      </c>
      <c r="C7" s="4" t="s">
        <v>35</v>
      </c>
    </row>
    <row r="9" customFormat="false" ht="15" hidden="false" customHeight="false" outlineLevel="0" collapsed="false">
      <c r="A9" s="6" t="s">
        <v>36</v>
      </c>
      <c r="B9" s="7" t="s">
        <v>28</v>
      </c>
      <c r="C9" s="7" t="s">
        <v>29</v>
      </c>
    </row>
    <row r="10" customFormat="false" ht="15" hidden="false" customHeight="false" outlineLevel="0" collapsed="false">
      <c r="A10" s="9" t="s">
        <v>37</v>
      </c>
      <c r="B10" s="15" t="n">
        <v>0.05</v>
      </c>
      <c r="C10" s="4" t="s">
        <v>38</v>
      </c>
    </row>
    <row r="11" customFormat="false" ht="15" hidden="false" customHeight="false" outlineLevel="0" collapsed="false">
      <c r="A11" s="9" t="s">
        <v>39</v>
      </c>
      <c r="B11" s="15" t="n">
        <v>0.15</v>
      </c>
      <c r="C11" s="4"/>
    </row>
    <row r="12" customFormat="false" ht="15" hidden="false" customHeight="false" outlineLevel="0" collapsed="false">
      <c r="A12" s="9" t="s">
        <v>40</v>
      </c>
      <c r="B12" s="15" t="n">
        <v>0.3</v>
      </c>
      <c r="C12" s="4"/>
    </row>
    <row r="13" customFormat="false" ht="15" hidden="false" customHeight="false" outlineLevel="0" collapsed="false">
      <c r="A13" s="9" t="s">
        <v>41</v>
      </c>
      <c r="B13" s="15" t="n">
        <v>0.28</v>
      </c>
      <c r="C13" s="4"/>
    </row>
    <row r="14" customFormat="false" ht="15" hidden="false" customHeight="false" outlineLevel="0" collapsed="false">
      <c r="A14" s="9" t="s">
        <v>42</v>
      </c>
      <c r="B14" s="15" t="n">
        <v>0.12</v>
      </c>
      <c r="C14" s="4"/>
    </row>
    <row r="15" customFormat="false" ht="15" hidden="false" customHeight="false" outlineLevel="0" collapsed="false">
      <c r="A15" s="9" t="s">
        <v>43</v>
      </c>
      <c r="B15" s="15" t="n">
        <v>0.07</v>
      </c>
      <c r="C15" s="4"/>
    </row>
    <row r="16" customFormat="false" ht="15" hidden="false" customHeight="false" outlineLevel="0" collapsed="false">
      <c r="A16" s="9" t="s">
        <v>44</v>
      </c>
      <c r="B16" s="15" t="n">
        <v>0.03</v>
      </c>
      <c r="C16" s="4"/>
    </row>
    <row r="17" customFormat="false" ht="15" hidden="false" customHeight="false" outlineLevel="0" collapsed="false">
      <c r="A17" s="8" t="s">
        <v>45</v>
      </c>
      <c r="B17" s="16" t="n">
        <f aca="false">SUM(B10:B16)</f>
        <v>1</v>
      </c>
    </row>
    <row r="19" customFormat="false" ht="15" hidden="false" customHeight="false" outlineLevel="0" collapsed="false">
      <c r="A19" s="6" t="s">
        <v>46</v>
      </c>
      <c r="B19" s="7" t="s">
        <v>28</v>
      </c>
      <c r="C19" s="7" t="s">
        <v>29</v>
      </c>
    </row>
    <row r="20" customFormat="false" ht="15" hidden="false" customHeight="false" outlineLevel="0" collapsed="false">
      <c r="A20" s="9" t="s">
        <v>47</v>
      </c>
      <c r="B20" s="15" t="n">
        <v>0.36</v>
      </c>
      <c r="C20" s="4" t="s">
        <v>48</v>
      </c>
    </row>
    <row r="21" customFormat="false" ht="15" hidden="false" customHeight="false" outlineLevel="0" collapsed="false">
      <c r="A21" s="9" t="s">
        <v>49</v>
      </c>
      <c r="B21" s="17" t="n">
        <v>5</v>
      </c>
      <c r="C21" s="4" t="s">
        <v>50</v>
      </c>
    </row>
    <row r="22" customFormat="false" ht="15" hidden="false" customHeight="false" outlineLevel="0" collapsed="false">
      <c r="A22" s="9" t="s">
        <v>51</v>
      </c>
      <c r="B22" s="14" t="n">
        <v>250000</v>
      </c>
      <c r="C22" s="4" t="s">
        <v>52</v>
      </c>
    </row>
    <row r="23" customFormat="false" ht="15" hidden="false" customHeight="false" outlineLevel="0" collapsed="false">
      <c r="A23" s="9" t="s">
        <v>53</v>
      </c>
      <c r="B23" s="14" t="n">
        <v>40000</v>
      </c>
      <c r="C23" s="4" t="s">
        <v>54</v>
      </c>
    </row>
    <row r="24" customFormat="false" ht="15" hidden="false" customHeight="false" outlineLevel="0" collapsed="false">
      <c r="A24" s="9" t="s">
        <v>55</v>
      </c>
      <c r="B24" s="14" t="n">
        <v>42000</v>
      </c>
      <c r="C24" s="4" t="s">
        <v>56</v>
      </c>
    </row>
    <row r="25" customFormat="false" ht="15" hidden="false" customHeight="false" outlineLevel="0" collapsed="false">
      <c r="A25" s="9" t="s">
        <v>57</v>
      </c>
      <c r="B25" s="14" t="n">
        <v>54000</v>
      </c>
      <c r="C25" s="4" t="s">
        <v>58</v>
      </c>
    </row>
    <row r="26" customFormat="false" ht="15" hidden="false" customHeight="false" outlineLevel="0" collapsed="false">
      <c r="A26" s="9" t="s">
        <v>59</v>
      </c>
      <c r="B26" s="14" t="n">
        <v>5000</v>
      </c>
      <c r="C26" s="4"/>
    </row>
    <row r="28" customFormat="false" ht="15" hidden="false" customHeight="false" outlineLevel="0" collapsed="false">
      <c r="A28" s="6" t="s">
        <v>60</v>
      </c>
      <c r="B28" s="7" t="s">
        <v>28</v>
      </c>
      <c r="C28" s="7" t="s">
        <v>29</v>
      </c>
    </row>
    <row r="29" customFormat="false" ht="15" hidden="false" customHeight="false" outlineLevel="0" collapsed="false">
      <c r="A29" s="9" t="s">
        <v>61</v>
      </c>
      <c r="B29" s="14" t="n">
        <v>400000</v>
      </c>
      <c r="C29" s="4" t="s">
        <v>62</v>
      </c>
    </row>
    <row r="30" customFormat="false" ht="15" hidden="false" customHeight="false" outlineLevel="0" collapsed="false">
      <c r="A30" s="9" t="s">
        <v>63</v>
      </c>
      <c r="B30" s="14" t="n">
        <v>650000</v>
      </c>
      <c r="C30" s="4" t="s">
        <v>64</v>
      </c>
    </row>
    <row r="31" customFormat="false" ht="15" hidden="false" customHeight="false" outlineLevel="0" collapsed="false">
      <c r="A31" s="9" t="s">
        <v>65</v>
      </c>
      <c r="B31" s="14" t="n">
        <v>25000</v>
      </c>
      <c r="C31" s="4" t="s">
        <v>66</v>
      </c>
    </row>
    <row r="32" customFormat="false" ht="15" hidden="false" customHeight="false" outlineLevel="0" collapsed="false">
      <c r="A32" s="9" t="s">
        <v>67</v>
      </c>
      <c r="B32" s="15" t="n">
        <v>0.0675</v>
      </c>
      <c r="C32" s="4" t="s">
        <v>68</v>
      </c>
    </row>
    <row r="33" customFormat="false" ht="15" hidden="false" customHeight="false" outlineLevel="0" collapsed="false">
      <c r="A33" s="9" t="s">
        <v>69</v>
      </c>
      <c r="B33" s="15" t="n">
        <v>0.88</v>
      </c>
      <c r="C33" s="4" t="s">
        <v>70</v>
      </c>
    </row>
    <row r="34" customFormat="false" ht="15" hidden="false" customHeight="false" outlineLevel="0" collapsed="false">
      <c r="A34" s="9" t="s">
        <v>71</v>
      </c>
      <c r="B34" s="15" t="n">
        <v>0.8</v>
      </c>
      <c r="C34" s="4"/>
    </row>
    <row r="35" customFormat="false" ht="15" hidden="false" customHeight="false" outlineLevel="0" collapsed="false">
      <c r="A35" s="9" t="s">
        <v>72</v>
      </c>
      <c r="B35" s="14" t="n">
        <v>600000</v>
      </c>
      <c r="C35" s="4" t="s">
        <v>73</v>
      </c>
    </row>
    <row r="36" customFormat="false" ht="15" hidden="false" customHeight="false" outlineLevel="0" collapsed="false">
      <c r="A36" s="9" t="s">
        <v>74</v>
      </c>
      <c r="B36" s="14" t="n">
        <v>750000</v>
      </c>
      <c r="C36" s="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Z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1" ySplit="5" topLeftCell="L6" activePane="bottomRight" state="frozen"/>
      <selection pane="topLeft" activeCell="A1" activeCellId="0" sqref="A1"/>
      <selection pane="topRight" activeCell="L1" activeCellId="0" sqref="L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"/>
    <col collapsed="false" customWidth="true" hidden="false" outlineLevel="0" max="23" min="3" style="1" width="11.5"/>
    <col collapsed="false" customWidth="true" hidden="false" outlineLevel="0" max="24" min="24" style="1" width="13"/>
  </cols>
  <sheetData>
    <row r="1" customFormat="false" ht="17.35" hidden="false" customHeight="false" outlineLevel="0" collapsed="false">
      <c r="A1" s="13" t="s">
        <v>76</v>
      </c>
    </row>
    <row r="2" customFormat="false" ht="15" hidden="false" customHeight="false" outlineLevel="0" collapsed="false">
      <c r="A2" s="4" t="s">
        <v>77</v>
      </c>
    </row>
    <row r="4" customFormat="false" ht="15" hidden="false" customHeight="false" outlineLevel="0" collapsed="false">
      <c r="A4" s="18" t="s">
        <v>78</v>
      </c>
      <c r="C4" s="19" t="n">
        <v>-8</v>
      </c>
      <c r="D4" s="19" t="n">
        <v>-7</v>
      </c>
      <c r="E4" s="19" t="n">
        <v>-6</v>
      </c>
      <c r="F4" s="19" t="n">
        <v>-5</v>
      </c>
      <c r="G4" s="19" t="n">
        <v>-4</v>
      </c>
      <c r="H4" s="19" t="n">
        <v>-3</v>
      </c>
      <c r="I4" s="19" t="n">
        <v>-2</v>
      </c>
      <c r="J4" s="19" t="n">
        <v>-1</v>
      </c>
      <c r="K4" s="19" t="n">
        <v>0</v>
      </c>
      <c r="L4" s="20" t="n">
        <v>1</v>
      </c>
      <c r="M4" s="20" t="n">
        <v>2</v>
      </c>
      <c r="N4" s="20" t="n">
        <v>3</v>
      </c>
      <c r="O4" s="20" t="n">
        <v>4</v>
      </c>
      <c r="P4" s="20" t="n">
        <v>5</v>
      </c>
      <c r="Q4" s="20" t="n">
        <v>6</v>
      </c>
      <c r="R4" s="20" t="n">
        <v>7</v>
      </c>
      <c r="S4" s="20" t="n">
        <v>8</v>
      </c>
      <c r="T4" s="20" t="n">
        <v>9</v>
      </c>
      <c r="U4" s="20" t="n">
        <v>10</v>
      </c>
      <c r="V4" s="20" t="n">
        <v>11</v>
      </c>
      <c r="W4" s="20" t="n">
        <v>12</v>
      </c>
      <c r="X4" s="20" t="n">
        <v>13</v>
      </c>
      <c r="Y4" s="21" t="s">
        <v>79</v>
      </c>
    </row>
    <row r="5" customFormat="false" ht="15" hidden="false" customHeight="false" outlineLevel="0" collapsed="false">
      <c r="A5" s="18" t="s">
        <v>80</v>
      </c>
      <c r="C5" s="22" t="n">
        <v>46262</v>
      </c>
      <c r="D5" s="22" t="n">
        <v>46269</v>
      </c>
      <c r="E5" s="22" t="n">
        <v>46276</v>
      </c>
      <c r="F5" s="22" t="n">
        <v>46283</v>
      </c>
      <c r="G5" s="22" t="n">
        <v>46290</v>
      </c>
      <c r="H5" s="22" t="n">
        <v>46297</v>
      </c>
      <c r="I5" s="22" t="n">
        <v>46304</v>
      </c>
      <c r="J5" s="22" t="n">
        <v>46311</v>
      </c>
      <c r="K5" s="22" t="n">
        <v>46318</v>
      </c>
      <c r="L5" s="23" t="n">
        <v>46325</v>
      </c>
      <c r="M5" s="23" t="n">
        <v>46332</v>
      </c>
      <c r="N5" s="23" t="n">
        <v>46339</v>
      </c>
      <c r="O5" s="23" t="n">
        <v>46346</v>
      </c>
      <c r="P5" s="23" t="n">
        <v>46353</v>
      </c>
      <c r="Q5" s="23" t="n">
        <v>46360</v>
      </c>
      <c r="R5" s="23" t="n">
        <v>46367</v>
      </c>
      <c r="S5" s="23" t="n">
        <v>46374</v>
      </c>
      <c r="T5" s="23" t="n">
        <v>46381</v>
      </c>
      <c r="U5" s="23" t="n">
        <v>46388</v>
      </c>
      <c r="V5" s="23" t="n">
        <v>46395</v>
      </c>
      <c r="W5" s="23" t="n">
        <v>46402</v>
      </c>
      <c r="X5" s="23" t="n">
        <v>46409</v>
      </c>
      <c r="Y5" s="18"/>
    </row>
    <row r="7" customFormat="false" ht="15" hidden="false" customHeight="false" outlineLevel="0" collapsed="false">
      <c r="A7" s="24" t="s">
        <v>81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</row>
    <row r="8" customFormat="false" ht="15" hidden="false" customHeight="false" outlineLevel="0" collapsed="false">
      <c r="A8" s="26" t="s">
        <v>82</v>
      </c>
      <c r="C8" s="14" t="n">
        <v>366000</v>
      </c>
      <c r="D8" s="14" t="n">
        <v>361000</v>
      </c>
      <c r="E8" s="14" t="n">
        <v>374000</v>
      </c>
      <c r="F8" s="14" t="n">
        <v>358000</v>
      </c>
      <c r="G8" s="14" t="n">
        <v>359000</v>
      </c>
      <c r="H8" s="14" t="n">
        <v>377000</v>
      </c>
      <c r="I8" s="14" t="n">
        <v>362000</v>
      </c>
      <c r="J8" s="14" t="n">
        <v>374000</v>
      </c>
      <c r="K8" s="14" t="n">
        <v>379000</v>
      </c>
      <c r="L8" s="14" t="n">
        <v>385000</v>
      </c>
      <c r="M8" s="14" t="n">
        <v>330000</v>
      </c>
      <c r="N8" s="14" t="n">
        <v>337000</v>
      </c>
      <c r="O8" s="14" t="n">
        <v>330000</v>
      </c>
      <c r="P8" s="14" t="n">
        <v>301000</v>
      </c>
      <c r="Q8" s="14" t="n">
        <v>394000</v>
      </c>
      <c r="R8" s="14" t="n">
        <v>369000</v>
      </c>
      <c r="S8" s="14" t="n">
        <v>406000</v>
      </c>
      <c r="T8" s="14" t="n">
        <v>223000</v>
      </c>
      <c r="U8" s="14" t="n">
        <v>232000</v>
      </c>
      <c r="V8" s="14" t="n">
        <v>355000</v>
      </c>
      <c r="W8" s="14" t="n">
        <v>339000</v>
      </c>
      <c r="X8" s="14" t="n">
        <v>334000</v>
      </c>
      <c r="Y8" s="27" t="n">
        <f aca="false">SUM(L8:X8)</f>
        <v>4335000</v>
      </c>
    </row>
    <row r="9" customFormat="false" ht="15" hidden="false" customHeight="false" outlineLevel="0" collapsed="false">
      <c r="A9" s="4" t="s">
        <v>83</v>
      </c>
    </row>
    <row r="11" customFormat="false" ht="15" hidden="false" customHeight="false" outlineLevel="0" collapsed="false">
      <c r="A11" s="24" t="s">
        <v>84</v>
      </c>
      <c r="B11" s="25"/>
      <c r="C11" s="28"/>
      <c r="D11" s="28"/>
      <c r="E11" s="28"/>
      <c r="F11" s="28"/>
      <c r="G11" s="28"/>
      <c r="H11" s="28"/>
      <c r="I11" s="28"/>
      <c r="J11" s="28"/>
      <c r="K11" s="28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customFormat="false" ht="15" hidden="false" customHeight="false" outlineLevel="0" collapsed="false">
      <c r="A12" s="26" t="s">
        <v>85</v>
      </c>
      <c r="C12" s="28"/>
      <c r="D12" s="28"/>
      <c r="E12" s="28"/>
      <c r="F12" s="28"/>
      <c r="G12" s="28"/>
      <c r="H12" s="28"/>
      <c r="I12" s="28"/>
      <c r="J12" s="28"/>
      <c r="K12" s="28"/>
      <c r="L12" s="29" t="n">
        <f aca="false">Assumptions!$B$10*I8+Assumptions!$B$11*H8+Assumptions!$B$12*G8+Assumptions!$B$13*F8+Assumptions!$B$14*E8+Assumptions!$B$15*D8+Assumptions!$B$16*C8</f>
        <v>363720</v>
      </c>
      <c r="M12" s="29" t="n">
        <f aca="false">Assumptions!$B$10*J8+Assumptions!$B$11*I8+Assumptions!$B$12*H8+Assumptions!$B$13*G8+Assumptions!$B$14*F8+Assumptions!$B$15*E8+Assumptions!$B$16*D8</f>
        <v>366590</v>
      </c>
      <c r="N12" s="29" t="n">
        <f aca="false">Assumptions!$B$10*K8+Assumptions!$B$11*J8+Assumptions!$B$12*I8+Assumptions!$B$13*H8+Assumptions!$B$14*G8+Assumptions!$B$15*F8+Assumptions!$B$16*E8</f>
        <v>368570</v>
      </c>
      <c r="O12" s="29" t="n">
        <f aca="false">Assumptions!$B$10*L8+Assumptions!$B$11*K8+Assumptions!$B$12*J8+Assumptions!$B$13*I8+Assumptions!$B$14*H8+Assumptions!$B$15*G8+Assumptions!$B$16*F8</f>
        <v>370770</v>
      </c>
      <c r="P12" s="29" t="n">
        <f aca="false">Assumptions!$B$10*M8+Assumptions!$B$11*L8+Assumptions!$B$12*K8+Assumptions!$B$13*J8+Assumptions!$B$14*I8+Assumptions!$B$15*H8+Assumptions!$B$16*G8</f>
        <v>373270</v>
      </c>
      <c r="Q12" s="29" t="n">
        <f aca="false">Assumptions!$B$10*N8+Assumptions!$B$11*M8+Assumptions!$B$12*L8+Assumptions!$B$13*K8+Assumptions!$B$14*J8+Assumptions!$B$15*I8+Assumptions!$B$16*H8</f>
        <v>369500</v>
      </c>
      <c r="R12" s="29" t="n">
        <f aca="false">Assumptions!$B$10*O8+Assumptions!$B$11*N8+Assumptions!$B$12*M8+Assumptions!$B$13*L8+Assumptions!$B$14*K8+Assumptions!$B$15*J8+Assumptions!$B$16*I8</f>
        <v>356370</v>
      </c>
      <c r="S12" s="29" t="n">
        <f aca="false">Assumptions!$B$10*P8+Assumptions!$B$11*O8+Assumptions!$B$12*N8+Assumptions!$B$13*M8+Assumptions!$B$14*L8+Assumptions!$B$15*K8+Assumptions!$B$16*J8</f>
        <v>342000</v>
      </c>
      <c r="T12" s="29" t="n">
        <f aca="false">Assumptions!$B$10*Q8+Assumptions!$B$11*P8+Assumptions!$B$12*O8+Assumptions!$B$13*N8+Assumptions!$B$14*M8+Assumptions!$B$15*L8+Assumptions!$B$16*K8</f>
        <v>336130</v>
      </c>
      <c r="U12" s="29" t="n">
        <f aca="false">Assumptions!$B$10*R8+Assumptions!$B$11*Q8+Assumptions!$B$12*P8+Assumptions!$B$13*O8+Assumptions!$B$14*N8+Assumptions!$B$15*M8+Assumptions!$B$16*L8</f>
        <v>335340</v>
      </c>
      <c r="V12" s="29" t="n">
        <f aca="false">Assumptions!$B$10*S8+Assumptions!$B$11*R8+Assumptions!$B$12*Q8+Assumptions!$B$13*P8+Assumptions!$B$14*O8+Assumptions!$B$15*N8+Assumptions!$B$16*M8</f>
        <v>351220</v>
      </c>
      <c r="W12" s="29" t="n">
        <f aca="false">Assumptions!$B$10*T8+Assumptions!$B$11*S8+Assumptions!$B$12*R8+Assumptions!$B$13*Q8+Assumptions!$B$14*P8+Assumptions!$B$15*O8+Assumptions!$B$16*N8</f>
        <v>362400</v>
      </c>
      <c r="X12" s="29" t="n">
        <f aca="false">Assumptions!$B$10*U8+Assumptions!$B$11*T8+Assumptions!$B$12*S8+Assumptions!$B$13*R8+Assumptions!$B$14*Q8+Assumptions!$B$15*P8+Assumptions!$B$16*O8</f>
        <v>348420</v>
      </c>
      <c r="Y12" s="27" t="n">
        <f aca="false">SUM(L12:X12)</f>
        <v>4644300</v>
      </c>
    </row>
    <row r="13" customFormat="false" ht="15" hidden="false" customHeight="false" outlineLevel="0" collapsed="false">
      <c r="A13" s="26" t="s">
        <v>86</v>
      </c>
      <c r="C13" s="28"/>
      <c r="D13" s="28"/>
      <c r="E13" s="28"/>
      <c r="F13" s="28"/>
      <c r="G13" s="28"/>
      <c r="H13" s="28"/>
      <c r="I13" s="28"/>
      <c r="J13" s="28"/>
      <c r="K13" s="28"/>
      <c r="L13" s="29" t="n">
        <f aca="false">Assumptions!$B$26</f>
        <v>5000</v>
      </c>
      <c r="M13" s="29" t="n">
        <f aca="false">Assumptions!$B$26</f>
        <v>5000</v>
      </c>
      <c r="N13" s="29" t="n">
        <f aca="false">Assumptions!$B$26</f>
        <v>5000</v>
      </c>
      <c r="O13" s="29" t="n">
        <f aca="false">Assumptions!$B$26</f>
        <v>5000</v>
      </c>
      <c r="P13" s="29" t="n">
        <f aca="false">Assumptions!$B$26</f>
        <v>5000</v>
      </c>
      <c r="Q13" s="29" t="n">
        <f aca="false">Assumptions!$B$26</f>
        <v>5000</v>
      </c>
      <c r="R13" s="29" t="n">
        <f aca="false">Assumptions!$B$26</f>
        <v>5000</v>
      </c>
      <c r="S13" s="29" t="n">
        <f aca="false">Assumptions!$B$26</f>
        <v>5000</v>
      </c>
      <c r="T13" s="29" t="n">
        <f aca="false">Assumptions!$B$26</f>
        <v>5000</v>
      </c>
      <c r="U13" s="29" t="n">
        <f aca="false">Assumptions!$B$26</f>
        <v>5000</v>
      </c>
      <c r="V13" s="29" t="n">
        <f aca="false">Assumptions!$B$26</f>
        <v>5000</v>
      </c>
      <c r="W13" s="29" t="n">
        <f aca="false">Assumptions!$B$26</f>
        <v>5000</v>
      </c>
      <c r="X13" s="29" t="n">
        <f aca="false">Assumptions!$B$26</f>
        <v>5000</v>
      </c>
      <c r="Y13" s="27" t="n">
        <f aca="false">SUM(L13:X13)</f>
        <v>65000</v>
      </c>
    </row>
    <row r="14" customFormat="false" ht="15" hidden="false" customHeight="false" outlineLevel="0" collapsed="false">
      <c r="A14" s="26" t="s">
        <v>87</v>
      </c>
      <c r="C14" s="28"/>
      <c r="D14" s="28"/>
      <c r="E14" s="28"/>
      <c r="F14" s="28"/>
      <c r="G14" s="28"/>
      <c r="H14" s="28"/>
      <c r="I14" s="28"/>
      <c r="J14" s="28"/>
      <c r="K14" s="28"/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2800000</v>
      </c>
      <c r="W14" s="14" t="n">
        <v>0</v>
      </c>
      <c r="X14" s="14" t="n">
        <v>0</v>
      </c>
      <c r="Y14" s="27" t="n">
        <f aca="false">SUM(L14:X14)</f>
        <v>2800000</v>
      </c>
    </row>
    <row r="15" customFormat="false" ht="15" hidden="false" customHeight="false" outlineLevel="0" collapsed="false">
      <c r="A15" s="26" t="s">
        <v>88</v>
      </c>
      <c r="C15" s="28"/>
      <c r="D15" s="28"/>
      <c r="E15" s="28"/>
      <c r="F15" s="28"/>
      <c r="G15" s="28"/>
      <c r="H15" s="28"/>
      <c r="I15" s="28"/>
      <c r="J15" s="28"/>
      <c r="K15" s="28"/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400000</v>
      </c>
      <c r="W15" s="14" t="n">
        <v>0</v>
      </c>
      <c r="X15" s="14" t="n">
        <v>0</v>
      </c>
      <c r="Y15" s="27" t="n">
        <f aca="false">SUM(L15:X15)</f>
        <v>400000</v>
      </c>
    </row>
    <row r="16" customFormat="false" ht="15" hidden="false" customHeight="false" outlineLevel="0" collapsed="false">
      <c r="A16" s="8" t="s">
        <v>89</v>
      </c>
      <c r="C16" s="28"/>
      <c r="D16" s="28"/>
      <c r="E16" s="28"/>
      <c r="F16" s="28"/>
      <c r="G16" s="28"/>
      <c r="H16" s="28"/>
      <c r="I16" s="28"/>
      <c r="J16" s="28"/>
      <c r="K16" s="28"/>
      <c r="L16" s="30" t="n">
        <f aca="false">SUM(L12:L15)</f>
        <v>368720</v>
      </c>
      <c r="M16" s="30" t="n">
        <f aca="false">SUM(M12:M15)</f>
        <v>371590</v>
      </c>
      <c r="N16" s="30" t="n">
        <f aca="false">SUM(N12:N15)</f>
        <v>373570</v>
      </c>
      <c r="O16" s="30" t="n">
        <f aca="false">SUM(O12:O15)</f>
        <v>375770</v>
      </c>
      <c r="P16" s="30" t="n">
        <f aca="false">SUM(P12:P15)</f>
        <v>378270</v>
      </c>
      <c r="Q16" s="30" t="n">
        <f aca="false">SUM(Q12:Q15)</f>
        <v>374500</v>
      </c>
      <c r="R16" s="30" t="n">
        <f aca="false">SUM(R12:R15)</f>
        <v>361370</v>
      </c>
      <c r="S16" s="30" t="n">
        <f aca="false">SUM(S12:S15)</f>
        <v>347000</v>
      </c>
      <c r="T16" s="30" t="n">
        <f aca="false">SUM(T12:T15)</f>
        <v>341130</v>
      </c>
      <c r="U16" s="30" t="n">
        <f aca="false">SUM(U12:U15)</f>
        <v>340340</v>
      </c>
      <c r="V16" s="30" t="n">
        <f aca="false">SUM(V12:V15)</f>
        <v>3556220</v>
      </c>
      <c r="W16" s="30" t="n">
        <f aca="false">SUM(W12:W15)</f>
        <v>367400</v>
      </c>
      <c r="X16" s="30" t="n">
        <f aca="false">SUM(X12:X15)</f>
        <v>353420</v>
      </c>
      <c r="Y16" s="27" t="n">
        <f aca="false">SUM(L16:X16)</f>
        <v>7909300</v>
      </c>
    </row>
    <row r="17" customFormat="false" ht="15" hidden="false" customHeight="false" outlineLevel="0" collapsed="false">
      <c r="C17" s="28"/>
      <c r="D17" s="28"/>
      <c r="E17" s="28"/>
      <c r="F17" s="28"/>
      <c r="G17" s="28"/>
      <c r="H17" s="28"/>
      <c r="I17" s="28"/>
      <c r="J17" s="28"/>
      <c r="K17" s="28"/>
    </row>
    <row r="18" customFormat="false" ht="15" hidden="false" customHeight="false" outlineLevel="0" collapsed="false">
      <c r="A18" s="24" t="s">
        <v>90</v>
      </c>
      <c r="B18" s="25"/>
      <c r="C18" s="28"/>
      <c r="D18" s="28"/>
      <c r="E18" s="28"/>
      <c r="F18" s="28"/>
      <c r="G18" s="28"/>
      <c r="H18" s="28"/>
      <c r="I18" s="28"/>
      <c r="J18" s="28"/>
      <c r="K18" s="28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customFormat="false" ht="15" hidden="false" customHeight="false" outlineLevel="0" collapsed="false">
      <c r="A19" s="26" t="s">
        <v>91</v>
      </c>
      <c r="C19" s="28"/>
      <c r="D19" s="28"/>
      <c r="E19" s="28"/>
      <c r="F19" s="28"/>
      <c r="G19" s="28"/>
      <c r="H19" s="28"/>
      <c r="I19" s="28"/>
      <c r="J19" s="28"/>
      <c r="K19" s="28"/>
      <c r="L19" s="29" t="n">
        <f aca="false">Assumptions!$B$20*G8</f>
        <v>129240</v>
      </c>
      <c r="M19" s="29" t="n">
        <f aca="false">Assumptions!$B$20*H8</f>
        <v>135720</v>
      </c>
      <c r="N19" s="29" t="n">
        <f aca="false">Assumptions!$B$20*I8</f>
        <v>130320</v>
      </c>
      <c r="O19" s="29" t="n">
        <f aca="false">Assumptions!$B$20*J8</f>
        <v>134640</v>
      </c>
      <c r="P19" s="29" t="n">
        <f aca="false">Assumptions!$B$20*K8</f>
        <v>136440</v>
      </c>
      <c r="Q19" s="29" t="n">
        <f aca="false">Assumptions!$B$20*L8</f>
        <v>138600</v>
      </c>
      <c r="R19" s="29" t="n">
        <f aca="false">Assumptions!$B$20*M8</f>
        <v>118800</v>
      </c>
      <c r="S19" s="29" t="n">
        <f aca="false">Assumptions!$B$20*N8</f>
        <v>121320</v>
      </c>
      <c r="T19" s="29" t="n">
        <f aca="false">Assumptions!$B$20*O8</f>
        <v>118800</v>
      </c>
      <c r="U19" s="29" t="n">
        <f aca="false">Assumptions!$B$20*P8</f>
        <v>108360</v>
      </c>
      <c r="V19" s="29" t="n">
        <f aca="false">Assumptions!$B$20*Q8</f>
        <v>141840</v>
      </c>
      <c r="W19" s="29" t="n">
        <f aca="false">Assumptions!$B$20*R8</f>
        <v>132840</v>
      </c>
      <c r="X19" s="29" t="n">
        <f aca="false">Assumptions!$B$20*S8</f>
        <v>146160</v>
      </c>
      <c r="Y19" s="27" t="n">
        <f aca="false">SUM(L19:X19)</f>
        <v>1693080</v>
      </c>
    </row>
    <row r="20" customFormat="false" ht="15" hidden="false" customHeight="false" outlineLevel="0" collapsed="false">
      <c r="A20" s="26" t="s">
        <v>92</v>
      </c>
      <c r="C20" s="28"/>
      <c r="D20" s="28"/>
      <c r="E20" s="28"/>
      <c r="F20" s="28"/>
      <c r="G20" s="28"/>
      <c r="H20" s="28"/>
      <c r="I20" s="28"/>
      <c r="J20" s="28"/>
      <c r="K20" s="28"/>
      <c r="L20" s="29" t="n">
        <f aca="false">IF(MOD(L$4,2)=1,Assumptions!$B$22,0)</f>
        <v>250000</v>
      </c>
      <c r="M20" s="29" t="n">
        <f aca="false">IF(MOD(M$4,2)=1,Assumptions!$B$22,0)</f>
        <v>0</v>
      </c>
      <c r="N20" s="29" t="n">
        <f aca="false">IF(MOD(N$4,2)=1,Assumptions!$B$22,0)</f>
        <v>250000</v>
      </c>
      <c r="O20" s="29" t="n">
        <f aca="false">IF(MOD(O$4,2)=1,Assumptions!$B$22,0)</f>
        <v>0</v>
      </c>
      <c r="P20" s="29" t="n">
        <f aca="false">IF(MOD(P$4,2)=1,Assumptions!$B$22,0)</f>
        <v>250000</v>
      </c>
      <c r="Q20" s="29" t="n">
        <f aca="false">IF(MOD(Q$4,2)=1,Assumptions!$B$22,0)</f>
        <v>0</v>
      </c>
      <c r="R20" s="29" t="n">
        <f aca="false">IF(MOD(R$4,2)=1,Assumptions!$B$22,0)</f>
        <v>250000</v>
      </c>
      <c r="S20" s="29" t="n">
        <f aca="false">IF(MOD(S$4,2)=1,Assumptions!$B$22,0)</f>
        <v>0</v>
      </c>
      <c r="T20" s="29" t="n">
        <f aca="false">IF(MOD(T$4,2)=1,Assumptions!$B$22,0)</f>
        <v>250000</v>
      </c>
      <c r="U20" s="29" t="n">
        <f aca="false">IF(MOD(U$4,2)=1,Assumptions!$B$22,0)</f>
        <v>0</v>
      </c>
      <c r="V20" s="29" t="n">
        <f aca="false">IF(MOD(V$4,2)=1,Assumptions!$B$22,0)</f>
        <v>250000</v>
      </c>
      <c r="W20" s="29" t="n">
        <f aca="false">IF(MOD(W$4,2)=1,Assumptions!$B$22,0)</f>
        <v>0</v>
      </c>
      <c r="X20" s="29" t="n">
        <f aca="false">IF(MOD(X$4,2)=1,Assumptions!$B$22,0)</f>
        <v>250000</v>
      </c>
      <c r="Y20" s="27" t="n">
        <f aca="false">SUM(L20:X20)</f>
        <v>1750000</v>
      </c>
    </row>
    <row r="21" customFormat="false" ht="15" hidden="false" customHeight="false" outlineLevel="0" collapsed="false">
      <c r="A21" s="26" t="s">
        <v>93</v>
      </c>
      <c r="C21" s="28"/>
      <c r="D21" s="28"/>
      <c r="E21" s="28"/>
      <c r="F21" s="28"/>
      <c r="G21" s="28"/>
      <c r="H21" s="28"/>
      <c r="I21" s="28"/>
      <c r="J21" s="28"/>
      <c r="K21" s="28"/>
      <c r="L21" s="29" t="n">
        <f aca="false">IF(OR(L$4=2,L$4=6,L$4=10),Assumptions!$B$24,0)</f>
        <v>0</v>
      </c>
      <c r="M21" s="29" t="n">
        <f aca="false">IF(OR(M$4=2,M$4=6,M$4=10),Assumptions!$B$24,0)</f>
        <v>42000</v>
      </c>
      <c r="N21" s="29" t="n">
        <f aca="false">IF(OR(N$4=2,N$4=6,N$4=10),Assumptions!$B$24,0)</f>
        <v>0</v>
      </c>
      <c r="O21" s="29" t="n">
        <f aca="false">IF(OR(O$4=2,O$4=6,O$4=10),Assumptions!$B$24,0)</f>
        <v>0</v>
      </c>
      <c r="P21" s="29" t="n">
        <f aca="false">IF(OR(P$4=2,P$4=6,P$4=10),Assumptions!$B$24,0)</f>
        <v>0</v>
      </c>
      <c r="Q21" s="29" t="n">
        <f aca="false">IF(OR(Q$4=2,Q$4=6,Q$4=10),Assumptions!$B$24,0)</f>
        <v>42000</v>
      </c>
      <c r="R21" s="29" t="n">
        <f aca="false">IF(OR(R$4=2,R$4=6,R$4=10),Assumptions!$B$24,0)</f>
        <v>0</v>
      </c>
      <c r="S21" s="29" t="n">
        <f aca="false">IF(OR(S$4=2,S$4=6,S$4=10),Assumptions!$B$24,0)</f>
        <v>0</v>
      </c>
      <c r="T21" s="29" t="n">
        <f aca="false">IF(OR(T$4=2,T$4=6,T$4=10),Assumptions!$B$24,0)</f>
        <v>0</v>
      </c>
      <c r="U21" s="29" t="n">
        <f aca="false">IF(OR(U$4=2,U$4=6,U$4=10),Assumptions!$B$24,0)</f>
        <v>42000</v>
      </c>
      <c r="V21" s="29" t="n">
        <f aca="false">IF(OR(V$4=2,V$4=6,V$4=10),Assumptions!$B$24,0)</f>
        <v>0</v>
      </c>
      <c r="W21" s="29" t="n">
        <f aca="false">IF(OR(W$4=2,W$4=6,W$4=10),Assumptions!$B$24,0)</f>
        <v>0</v>
      </c>
      <c r="X21" s="29" t="n">
        <f aca="false">IF(OR(X$4=2,X$4=6,X$4=10),Assumptions!$B$24,0)</f>
        <v>0</v>
      </c>
      <c r="Y21" s="27" t="n">
        <f aca="false">SUM(L21:X21)</f>
        <v>126000</v>
      </c>
    </row>
    <row r="22" customFormat="false" ht="15" hidden="false" customHeight="false" outlineLevel="0" collapsed="false">
      <c r="A22" s="26" t="s">
        <v>94</v>
      </c>
      <c r="C22" s="28"/>
      <c r="D22" s="28"/>
      <c r="E22" s="28"/>
      <c r="F22" s="28"/>
      <c r="G22" s="28"/>
      <c r="H22" s="28"/>
      <c r="I22" s="28"/>
      <c r="J22" s="28"/>
      <c r="K22" s="28"/>
      <c r="L22" s="29" t="n">
        <f aca="false">Assumptions!$B$23</f>
        <v>40000</v>
      </c>
      <c r="M22" s="29" t="n">
        <f aca="false">Assumptions!$B$23</f>
        <v>40000</v>
      </c>
      <c r="N22" s="29" t="n">
        <f aca="false">Assumptions!$B$23</f>
        <v>40000</v>
      </c>
      <c r="O22" s="29" t="n">
        <f aca="false">Assumptions!$B$23</f>
        <v>40000</v>
      </c>
      <c r="P22" s="29" t="n">
        <f aca="false">Assumptions!$B$23</f>
        <v>40000</v>
      </c>
      <c r="Q22" s="29" t="n">
        <f aca="false">Assumptions!$B$23</f>
        <v>40000</v>
      </c>
      <c r="R22" s="29" t="n">
        <f aca="false">Assumptions!$B$23</f>
        <v>40000</v>
      </c>
      <c r="S22" s="29" t="n">
        <f aca="false">Assumptions!$B$23</f>
        <v>40000</v>
      </c>
      <c r="T22" s="29" t="n">
        <f aca="false">Assumptions!$B$23</f>
        <v>40000</v>
      </c>
      <c r="U22" s="29" t="n">
        <f aca="false">Assumptions!$B$23</f>
        <v>40000</v>
      </c>
      <c r="V22" s="29" t="n">
        <f aca="false">Assumptions!$B$23</f>
        <v>40000</v>
      </c>
      <c r="W22" s="29" t="n">
        <f aca="false">Assumptions!$B$23</f>
        <v>40000</v>
      </c>
      <c r="X22" s="29" t="n">
        <f aca="false">Assumptions!$B$23</f>
        <v>40000</v>
      </c>
      <c r="Y22" s="27" t="n">
        <f aca="false">SUM(L22:X22)</f>
        <v>520000</v>
      </c>
    </row>
    <row r="23" customFormat="false" ht="15" hidden="false" customHeight="false" outlineLevel="0" collapsed="false">
      <c r="A23" s="26" t="s">
        <v>95</v>
      </c>
      <c r="C23" s="28"/>
      <c r="D23" s="28"/>
      <c r="E23" s="28"/>
      <c r="F23" s="28"/>
      <c r="G23" s="28"/>
      <c r="H23" s="28"/>
      <c r="I23" s="28"/>
      <c r="J23" s="28"/>
      <c r="K23" s="28"/>
      <c r="L23" s="29" t="n">
        <f aca="false">IF(OR(L$4=3,L$4=8,L$4=12),Assumptions!$B$25,0)</f>
        <v>0</v>
      </c>
      <c r="M23" s="29" t="n">
        <f aca="false">IF(OR(M$4=3,M$4=8,M$4=12),Assumptions!$B$25,0)</f>
        <v>0</v>
      </c>
      <c r="N23" s="29" t="n">
        <f aca="false">IF(OR(N$4=3,N$4=8,N$4=12),Assumptions!$B$25,0)</f>
        <v>54000</v>
      </c>
      <c r="O23" s="29" t="n">
        <f aca="false">IF(OR(O$4=3,O$4=8,O$4=12),Assumptions!$B$25,0)</f>
        <v>0</v>
      </c>
      <c r="P23" s="29" t="n">
        <f aca="false">IF(OR(P$4=3,P$4=8,P$4=12),Assumptions!$B$25,0)</f>
        <v>0</v>
      </c>
      <c r="Q23" s="29" t="n">
        <f aca="false">IF(OR(Q$4=3,Q$4=8,Q$4=12),Assumptions!$B$25,0)</f>
        <v>0</v>
      </c>
      <c r="R23" s="29" t="n">
        <f aca="false">IF(OR(R$4=3,R$4=8,R$4=12),Assumptions!$B$25,0)</f>
        <v>0</v>
      </c>
      <c r="S23" s="29" t="n">
        <f aca="false">IF(OR(S$4=3,S$4=8,S$4=12),Assumptions!$B$25,0)</f>
        <v>54000</v>
      </c>
      <c r="T23" s="29" t="n">
        <f aca="false">IF(OR(T$4=3,T$4=8,T$4=12),Assumptions!$B$25,0)</f>
        <v>0</v>
      </c>
      <c r="U23" s="29" t="n">
        <f aca="false">IF(OR(U$4=3,U$4=8,U$4=12),Assumptions!$B$25,0)</f>
        <v>0</v>
      </c>
      <c r="V23" s="29" t="n">
        <f aca="false">IF(OR(V$4=3,V$4=8,V$4=12),Assumptions!$B$25,0)</f>
        <v>0</v>
      </c>
      <c r="W23" s="29" t="n">
        <f aca="false">IF(OR(W$4=3,W$4=8,W$4=12),Assumptions!$B$25,0)</f>
        <v>54000</v>
      </c>
      <c r="X23" s="29" t="n">
        <f aca="false">IF(OR(X$4=3,X$4=8,X$4=12),Assumptions!$B$25,0)</f>
        <v>0</v>
      </c>
      <c r="Y23" s="27" t="n">
        <f aca="false">SUM(L23:X23)</f>
        <v>162000</v>
      </c>
    </row>
    <row r="24" customFormat="false" ht="15" hidden="false" customHeight="false" outlineLevel="0" collapsed="false">
      <c r="A24" s="26" t="s">
        <v>96</v>
      </c>
      <c r="C24" s="28"/>
      <c r="D24" s="28"/>
      <c r="E24" s="28"/>
      <c r="F24" s="28"/>
      <c r="G24" s="28"/>
      <c r="H24" s="28"/>
      <c r="I24" s="28"/>
      <c r="J24" s="28"/>
      <c r="K24" s="28"/>
      <c r="L24" s="29" t="n">
        <f aca="false">IF(OR(L$4=2,L$4=6,L$4=10),ROUND(L37*Assumptions!$B$32/12,0),0)</f>
        <v>0</v>
      </c>
      <c r="M24" s="29" t="n">
        <f aca="false">IF(OR(M$4=2,M$4=6,M$4=10),ROUND(M37*Assumptions!$B$32/12,0),0)</f>
        <v>5400</v>
      </c>
      <c r="N24" s="29" t="n">
        <f aca="false">IF(OR(N$4=2,N$4=6,N$4=10),ROUND(N37*Assumptions!$B$32/12,0),0)</f>
        <v>0</v>
      </c>
      <c r="O24" s="29" t="n">
        <f aca="false">IF(OR(O$4=2,O$4=6,O$4=10),ROUND(O37*Assumptions!$B$32/12,0),0)</f>
        <v>0</v>
      </c>
      <c r="P24" s="29" t="n">
        <f aca="false">IF(OR(P$4=2,P$4=6,P$4=10),ROUND(P37*Assumptions!$B$32/12,0),0)</f>
        <v>0</v>
      </c>
      <c r="Q24" s="29" t="n">
        <f aca="false">IF(OR(Q$4=2,Q$4=6,Q$4=10),ROUND(Q37*Assumptions!$B$32/12,0),0)</f>
        <v>5541</v>
      </c>
      <c r="R24" s="29" t="n">
        <f aca="false">IF(OR(R$4=2,R$4=6,R$4=10),ROUND(R37*Assumptions!$B$32/12,0),0)</f>
        <v>0</v>
      </c>
      <c r="S24" s="29" t="n">
        <f aca="false">IF(OR(S$4=2,S$4=6,S$4=10),ROUND(S37*Assumptions!$B$32/12,0),0)</f>
        <v>0</v>
      </c>
      <c r="T24" s="29" t="n">
        <f aca="false">IF(OR(T$4=2,T$4=6,T$4=10),ROUND(T37*Assumptions!$B$32/12,0),0)</f>
        <v>0</v>
      </c>
      <c r="U24" s="29" t="n">
        <f aca="false">IF(OR(U$4=2,U$4=6,U$4=10),ROUND(U37*Assumptions!$B$32/12,0),0)</f>
        <v>5541</v>
      </c>
      <c r="V24" s="29" t="n">
        <f aca="false">IF(OR(V$4=2,V$4=6,V$4=10),ROUND(V37*Assumptions!$B$32/12,0),0)</f>
        <v>0</v>
      </c>
      <c r="W24" s="29" t="n">
        <f aca="false">IF(OR(W$4=2,W$4=6,W$4=10),ROUND(W37*Assumptions!$B$32/12,0),0)</f>
        <v>0</v>
      </c>
      <c r="X24" s="29" t="n">
        <f aca="false">IF(OR(X$4=2,X$4=6,X$4=10),ROUND(X37*Assumptions!$B$32/12,0),0)</f>
        <v>0</v>
      </c>
      <c r="Y24" s="27" t="n">
        <f aca="false">SUM(L24:X24)</f>
        <v>16482</v>
      </c>
    </row>
    <row r="25" customFormat="false" ht="15" hidden="false" customHeight="false" outlineLevel="0" collapsed="false">
      <c r="A25" s="26" t="s">
        <v>97</v>
      </c>
      <c r="C25" s="28"/>
      <c r="D25" s="28"/>
      <c r="E25" s="28"/>
      <c r="F25" s="28"/>
      <c r="G25" s="28"/>
      <c r="H25" s="28"/>
      <c r="I25" s="28"/>
      <c r="J25" s="28"/>
      <c r="K25" s="28"/>
      <c r="L25" s="14" t="n">
        <v>0</v>
      </c>
      <c r="M25" s="14" t="n">
        <v>0</v>
      </c>
      <c r="N25" s="14" t="n">
        <v>0</v>
      </c>
      <c r="O25" s="14" t="n">
        <v>45000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60000</v>
      </c>
      <c r="U25" s="14" t="n">
        <v>0</v>
      </c>
      <c r="V25" s="14" t="n">
        <v>0</v>
      </c>
      <c r="W25" s="14" t="n">
        <v>0</v>
      </c>
      <c r="X25" s="14" t="n">
        <v>0</v>
      </c>
      <c r="Y25" s="27" t="n">
        <f aca="false">SUM(L25:X25)</f>
        <v>105000</v>
      </c>
    </row>
    <row r="26" customFormat="false" ht="15" hidden="false" customHeight="false" outlineLevel="0" collapsed="false">
      <c r="A26" s="26" t="s">
        <v>98</v>
      </c>
      <c r="C26" s="28"/>
      <c r="D26" s="28"/>
      <c r="E26" s="28"/>
      <c r="F26" s="28"/>
      <c r="G26" s="28"/>
      <c r="H26" s="28"/>
      <c r="I26" s="28"/>
      <c r="J26" s="28"/>
      <c r="K26" s="28"/>
      <c r="L26" s="14" t="n">
        <v>0</v>
      </c>
      <c r="M26" s="14" t="n">
        <v>0</v>
      </c>
      <c r="N26" s="14" t="n">
        <v>0</v>
      </c>
      <c r="O26" s="14" t="n">
        <v>300000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3200000</v>
      </c>
      <c r="W26" s="14" t="n">
        <v>0</v>
      </c>
      <c r="X26" s="14" t="n">
        <v>0</v>
      </c>
      <c r="Y26" s="27" t="n">
        <f aca="false">SUM(L26:X26)</f>
        <v>3500000</v>
      </c>
    </row>
    <row r="27" customFormat="false" ht="15" hidden="false" customHeight="false" outlineLevel="0" collapsed="false">
      <c r="A27" s="26" t="s">
        <v>99</v>
      </c>
      <c r="C27" s="28"/>
      <c r="D27" s="28"/>
      <c r="E27" s="28"/>
      <c r="F27" s="28"/>
      <c r="G27" s="28"/>
      <c r="H27" s="28"/>
      <c r="I27" s="28"/>
      <c r="J27" s="28"/>
      <c r="K27" s="28"/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95000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27" t="n">
        <f aca="false">SUM(L27:X27)</f>
        <v>95000</v>
      </c>
    </row>
    <row r="28" customFormat="false" ht="15" hidden="false" customHeight="false" outlineLevel="0" collapsed="false">
      <c r="A28" s="26" t="s">
        <v>100</v>
      </c>
      <c r="C28" s="28"/>
      <c r="D28" s="28"/>
      <c r="E28" s="28"/>
      <c r="F28" s="28"/>
      <c r="G28" s="28"/>
      <c r="H28" s="28"/>
      <c r="I28" s="28"/>
      <c r="J28" s="28"/>
      <c r="K28" s="28"/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85000</v>
      </c>
      <c r="V28" s="14" t="n">
        <v>0</v>
      </c>
      <c r="W28" s="14" t="n">
        <v>0</v>
      </c>
      <c r="X28" s="14" t="n">
        <v>0</v>
      </c>
      <c r="Y28" s="27" t="n">
        <f aca="false">SUM(L28:X28)</f>
        <v>85000</v>
      </c>
    </row>
    <row r="29" customFormat="false" ht="15" hidden="false" customHeight="false" outlineLevel="0" collapsed="false">
      <c r="A29" s="26" t="s">
        <v>101</v>
      </c>
      <c r="C29" s="28"/>
      <c r="D29" s="28"/>
      <c r="E29" s="28"/>
      <c r="F29" s="28"/>
      <c r="G29" s="28"/>
      <c r="H29" s="28"/>
      <c r="I29" s="28"/>
      <c r="J29" s="28"/>
      <c r="K29" s="28"/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200000</v>
      </c>
      <c r="X29" s="14" t="n">
        <v>0</v>
      </c>
      <c r="Y29" s="27" t="n">
        <f aca="false">SUM(L29:X29)</f>
        <v>200000</v>
      </c>
    </row>
    <row r="30" customFormat="false" ht="15" hidden="false" customHeight="false" outlineLevel="0" collapsed="false">
      <c r="A30" s="8" t="s">
        <v>102</v>
      </c>
      <c r="C30" s="28"/>
      <c r="D30" s="28"/>
      <c r="E30" s="28"/>
      <c r="F30" s="28"/>
      <c r="G30" s="28"/>
      <c r="H30" s="28"/>
      <c r="I30" s="28"/>
      <c r="J30" s="28"/>
      <c r="K30" s="28"/>
      <c r="L30" s="30" t="n">
        <f aca="false">SUM(L19:L29)</f>
        <v>419240</v>
      </c>
      <c r="M30" s="30" t="n">
        <f aca="false">SUM(M19:M29)</f>
        <v>223120</v>
      </c>
      <c r="N30" s="30" t="n">
        <f aca="false">SUM(N19:N29)</f>
        <v>474320</v>
      </c>
      <c r="O30" s="30" t="n">
        <f aca="false">SUM(O19:O29)</f>
        <v>519640</v>
      </c>
      <c r="P30" s="30" t="n">
        <f aca="false">SUM(P19:P29)</f>
        <v>426440</v>
      </c>
      <c r="Q30" s="30" t="n">
        <f aca="false">SUM(Q19:Q29)</f>
        <v>226141</v>
      </c>
      <c r="R30" s="30" t="n">
        <f aca="false">SUM(R19:R29)</f>
        <v>408800</v>
      </c>
      <c r="S30" s="30" t="n">
        <f aca="false">SUM(S19:S29)</f>
        <v>310320</v>
      </c>
      <c r="T30" s="30" t="n">
        <f aca="false">SUM(T19:T29)</f>
        <v>468800</v>
      </c>
      <c r="U30" s="30" t="n">
        <f aca="false">SUM(U19:U29)</f>
        <v>280901</v>
      </c>
      <c r="V30" s="30" t="n">
        <f aca="false">SUM(V19:V29)</f>
        <v>3631840</v>
      </c>
      <c r="W30" s="30" t="n">
        <f aca="false">SUM(W19:W29)</f>
        <v>426840</v>
      </c>
      <c r="X30" s="30" t="n">
        <f aca="false">SUM(X19:X29)</f>
        <v>436160</v>
      </c>
      <c r="Y30" s="27" t="n">
        <f aca="false">SUM(L30:X30)</f>
        <v>8252562</v>
      </c>
    </row>
    <row r="31" customFormat="false" ht="15" hidden="false" customHeight="false" outlineLevel="0" collapsed="false">
      <c r="C31" s="28"/>
      <c r="D31" s="28"/>
      <c r="E31" s="28"/>
      <c r="F31" s="28"/>
      <c r="G31" s="28"/>
      <c r="H31" s="28"/>
      <c r="I31" s="28"/>
      <c r="J31" s="28"/>
      <c r="K31" s="28"/>
    </row>
    <row r="32" customFormat="false" ht="15" hidden="false" customHeight="false" outlineLevel="0" collapsed="false">
      <c r="A32" s="24" t="s">
        <v>103</v>
      </c>
      <c r="B32" s="25"/>
      <c r="C32" s="28"/>
      <c r="D32" s="28"/>
      <c r="E32" s="28"/>
      <c r="F32" s="28"/>
      <c r="G32" s="28"/>
      <c r="H32" s="28"/>
      <c r="I32" s="28"/>
      <c r="J32" s="28"/>
      <c r="K32" s="28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customFormat="false" ht="15" hidden="false" customHeight="false" outlineLevel="0" collapsed="false">
      <c r="A33" s="26" t="s">
        <v>104</v>
      </c>
      <c r="C33" s="28"/>
      <c r="D33" s="28"/>
      <c r="E33" s="28"/>
      <c r="F33" s="28"/>
      <c r="G33" s="28"/>
      <c r="H33" s="28"/>
      <c r="I33" s="28"/>
      <c r="J33" s="28"/>
      <c r="K33" s="28"/>
      <c r="L33" s="31" t="n">
        <f aca="false">L16-L30</f>
        <v>-50520</v>
      </c>
      <c r="M33" s="31" t="n">
        <f aca="false">M16-M30</f>
        <v>148470</v>
      </c>
      <c r="N33" s="31" t="n">
        <f aca="false">N16-N30</f>
        <v>-100750</v>
      </c>
      <c r="O33" s="31" t="n">
        <f aca="false">O16-O30</f>
        <v>-143870</v>
      </c>
      <c r="P33" s="31" t="n">
        <f aca="false">P16-P30</f>
        <v>-48170</v>
      </c>
      <c r="Q33" s="31" t="n">
        <f aca="false">Q16-Q30</f>
        <v>148359</v>
      </c>
      <c r="R33" s="31" t="n">
        <f aca="false">R16-R30</f>
        <v>-47430</v>
      </c>
      <c r="S33" s="31" t="n">
        <f aca="false">S16-S30</f>
        <v>36680</v>
      </c>
      <c r="T33" s="31" t="n">
        <f aca="false">T16-T30</f>
        <v>-127670</v>
      </c>
      <c r="U33" s="31" t="n">
        <f aca="false">U16-U30</f>
        <v>59439</v>
      </c>
      <c r="V33" s="31" t="n">
        <f aca="false">V16-V30</f>
        <v>-75620</v>
      </c>
      <c r="W33" s="31" t="n">
        <f aca="false">W16-W30</f>
        <v>-59440</v>
      </c>
      <c r="X33" s="31" t="n">
        <f aca="false">X16-X30</f>
        <v>-82740</v>
      </c>
      <c r="Y33" s="27" t="n">
        <f aca="false">SUM(L33:X33)</f>
        <v>-343262</v>
      </c>
    </row>
    <row r="34" customFormat="false" ht="15" hidden="false" customHeight="false" outlineLevel="0" collapsed="false">
      <c r="A34" s="26" t="s">
        <v>105</v>
      </c>
      <c r="C34" s="28"/>
      <c r="D34" s="28"/>
      <c r="E34" s="28"/>
      <c r="F34" s="28"/>
      <c r="G34" s="28"/>
      <c r="H34" s="28"/>
      <c r="I34" s="28"/>
      <c r="J34" s="28"/>
      <c r="K34" s="28"/>
      <c r="L34" s="29" t="n">
        <f aca="false">Assumptions!$B$5</f>
        <v>585000</v>
      </c>
      <c r="M34" s="31" t="n">
        <f aca="false">L45</f>
        <v>534480</v>
      </c>
      <c r="N34" s="31" t="n">
        <f aca="false">M45</f>
        <v>657950</v>
      </c>
      <c r="O34" s="31" t="n">
        <f aca="false">N45</f>
        <v>557200</v>
      </c>
      <c r="P34" s="31" t="n">
        <f aca="false">O45</f>
        <v>413330</v>
      </c>
      <c r="Q34" s="31" t="n">
        <f aca="false">P45</f>
        <v>415160</v>
      </c>
      <c r="R34" s="31" t="n">
        <f aca="false">Q45</f>
        <v>563519</v>
      </c>
      <c r="S34" s="31" t="n">
        <f aca="false">R45</f>
        <v>516089</v>
      </c>
      <c r="T34" s="31" t="n">
        <f aca="false">S45</f>
        <v>552769</v>
      </c>
      <c r="U34" s="31" t="n">
        <f aca="false">T45</f>
        <v>425099</v>
      </c>
      <c r="V34" s="31" t="n">
        <f aca="false">U45</f>
        <v>484538</v>
      </c>
      <c r="W34" s="31" t="n">
        <f aca="false">V45</f>
        <v>408918</v>
      </c>
      <c r="X34" s="31" t="n">
        <f aca="false">W45</f>
        <v>424478</v>
      </c>
    </row>
    <row r="35" customFormat="false" ht="15" hidden="false" customHeight="false" outlineLevel="0" collapsed="false">
      <c r="A35" s="8" t="s">
        <v>106</v>
      </c>
      <c r="C35" s="28"/>
      <c r="D35" s="28"/>
      <c r="E35" s="28"/>
      <c r="F35" s="28"/>
      <c r="G35" s="28"/>
      <c r="H35" s="28"/>
      <c r="I35" s="28"/>
      <c r="J35" s="28"/>
      <c r="K35" s="28"/>
      <c r="L35" s="27" t="n">
        <f aca="false">L34+L33</f>
        <v>534480</v>
      </c>
      <c r="M35" s="27" t="n">
        <f aca="false">M34+M33</f>
        <v>682950</v>
      </c>
      <c r="N35" s="27" t="n">
        <f aca="false">N34+N33</f>
        <v>557200</v>
      </c>
      <c r="O35" s="27" t="n">
        <f aca="false">O34+O33</f>
        <v>413330</v>
      </c>
      <c r="P35" s="27" t="n">
        <f aca="false">P34+P33</f>
        <v>365160</v>
      </c>
      <c r="Q35" s="27" t="n">
        <f aca="false">Q34+Q33</f>
        <v>563519</v>
      </c>
      <c r="R35" s="27" t="n">
        <f aca="false">R34+R33</f>
        <v>516089</v>
      </c>
      <c r="S35" s="27" t="n">
        <f aca="false">S34+S33</f>
        <v>552769</v>
      </c>
      <c r="T35" s="27" t="n">
        <f aca="false">T34+T33</f>
        <v>425099</v>
      </c>
      <c r="U35" s="27" t="n">
        <f aca="false">U34+U33</f>
        <v>484538</v>
      </c>
      <c r="V35" s="27" t="n">
        <f aca="false">V34+V33</f>
        <v>408918</v>
      </c>
      <c r="W35" s="27" t="n">
        <f aca="false">W34+W33</f>
        <v>349478</v>
      </c>
      <c r="X35" s="27" t="n">
        <f aca="false">X34+X33</f>
        <v>341738</v>
      </c>
    </row>
    <row r="36" customFormat="false" ht="15" hidden="false" customHeight="false" outlineLevel="0" collapsed="false">
      <c r="C36" s="28"/>
      <c r="D36" s="28"/>
      <c r="E36" s="28"/>
      <c r="F36" s="28"/>
      <c r="G36" s="28"/>
      <c r="H36" s="28"/>
      <c r="I36" s="28"/>
      <c r="J36" s="28"/>
      <c r="K36" s="28"/>
    </row>
    <row r="37" customFormat="false" ht="15" hidden="false" customHeight="false" outlineLevel="0" collapsed="false">
      <c r="A37" s="26" t="s">
        <v>107</v>
      </c>
      <c r="C37" s="28"/>
      <c r="D37" s="28"/>
      <c r="E37" s="28"/>
      <c r="F37" s="28"/>
      <c r="G37" s="28"/>
      <c r="H37" s="28"/>
      <c r="I37" s="28"/>
      <c r="J37" s="28"/>
      <c r="K37" s="28"/>
      <c r="L37" s="29" t="n">
        <f aca="false">Assumptions!$B$6</f>
        <v>960000</v>
      </c>
      <c r="M37" s="31" t="n">
        <f aca="false">L43</f>
        <v>960000</v>
      </c>
      <c r="N37" s="31" t="n">
        <f aca="false">M43</f>
        <v>935000</v>
      </c>
      <c r="O37" s="31" t="n">
        <f aca="false">N43</f>
        <v>935000</v>
      </c>
      <c r="P37" s="31" t="n">
        <f aca="false">O43</f>
        <v>935000</v>
      </c>
      <c r="Q37" s="31" t="n">
        <f aca="false">P43</f>
        <v>985000</v>
      </c>
      <c r="R37" s="31" t="n">
        <f aca="false">Q43</f>
        <v>985000</v>
      </c>
      <c r="S37" s="31" t="n">
        <f aca="false">R43</f>
        <v>985000</v>
      </c>
      <c r="T37" s="31" t="n">
        <f aca="false">S43</f>
        <v>985000</v>
      </c>
      <c r="U37" s="31" t="n">
        <f aca="false">T43</f>
        <v>985000</v>
      </c>
      <c r="V37" s="31" t="n">
        <f aca="false">U43</f>
        <v>985000</v>
      </c>
      <c r="W37" s="31" t="n">
        <f aca="false">V43</f>
        <v>985000</v>
      </c>
      <c r="X37" s="31" t="n">
        <f aca="false">W43</f>
        <v>1060000</v>
      </c>
    </row>
    <row r="38" customFormat="false" ht="15" hidden="false" customHeight="false" outlineLevel="0" collapsed="false">
      <c r="A38" s="26" t="s">
        <v>108</v>
      </c>
      <c r="C38" s="28"/>
      <c r="D38" s="28"/>
      <c r="E38" s="28"/>
      <c r="F38" s="28"/>
      <c r="G38" s="28"/>
      <c r="H38" s="28"/>
      <c r="I38" s="28"/>
      <c r="J38" s="28"/>
      <c r="K38" s="28"/>
      <c r="L38" s="14" t="n">
        <v>1000000</v>
      </c>
      <c r="M38" s="14" t="n">
        <v>1000000</v>
      </c>
      <c r="N38" s="14" t="n">
        <v>1500000</v>
      </c>
      <c r="O38" s="14" t="n">
        <v>1500000</v>
      </c>
      <c r="P38" s="14" t="n">
        <v>1500000</v>
      </c>
      <c r="Q38" s="14" t="n">
        <v>1500000</v>
      </c>
      <c r="R38" s="14" t="n">
        <v>1500000</v>
      </c>
      <c r="S38" s="14" t="n">
        <v>1500000</v>
      </c>
      <c r="T38" s="14" t="n">
        <v>1500000</v>
      </c>
      <c r="U38" s="14" t="n">
        <v>1500000</v>
      </c>
      <c r="V38" s="14" t="n">
        <v>1500000</v>
      </c>
      <c r="W38" s="14" t="n">
        <v>1500000</v>
      </c>
      <c r="X38" s="14" t="n">
        <v>1500000</v>
      </c>
      <c r="Z38" s="4" t="s">
        <v>109</v>
      </c>
    </row>
    <row r="39" customFormat="false" ht="15" hidden="false" customHeight="false" outlineLevel="0" collapsed="false">
      <c r="A39" s="26" t="s">
        <v>110</v>
      </c>
      <c r="C39" s="28"/>
      <c r="D39" s="28"/>
      <c r="E39" s="28"/>
      <c r="F39" s="28"/>
      <c r="G39" s="28"/>
      <c r="H39" s="28"/>
      <c r="I39" s="28"/>
      <c r="J39" s="28"/>
      <c r="K39" s="28"/>
      <c r="L39" s="29" t="n">
        <f aca="false">Assumptions!$B$7+L8-L12</f>
        <v>2491280</v>
      </c>
      <c r="M39" s="31" t="n">
        <f aca="false">L39+M8-M12</f>
        <v>2454690</v>
      </c>
      <c r="N39" s="31" t="n">
        <f aca="false">M39+N8-N12</f>
        <v>2423120</v>
      </c>
      <c r="O39" s="31" t="n">
        <f aca="false">N39+O8-O12</f>
        <v>2382350</v>
      </c>
      <c r="P39" s="31" t="n">
        <f aca="false">O39+P8-P12</f>
        <v>2310080</v>
      </c>
      <c r="Q39" s="31" t="n">
        <f aca="false">P39+Q8-Q12</f>
        <v>2334580</v>
      </c>
      <c r="R39" s="31" t="n">
        <f aca="false">Q39+R8-R12</f>
        <v>2347210</v>
      </c>
      <c r="S39" s="31" t="n">
        <f aca="false">R39+S8-S12</f>
        <v>2411210</v>
      </c>
      <c r="T39" s="31" t="n">
        <f aca="false">S39+T8-T12</f>
        <v>2298080</v>
      </c>
      <c r="U39" s="31" t="n">
        <f aca="false">T39+U8-U12</f>
        <v>2194740</v>
      </c>
      <c r="V39" s="31" t="n">
        <f aca="false">U39+V8-V12</f>
        <v>2198520</v>
      </c>
      <c r="W39" s="31" t="n">
        <f aca="false">V39+W8-W12</f>
        <v>2175120</v>
      </c>
      <c r="X39" s="31" t="n">
        <f aca="false">W39+X8-X12</f>
        <v>2160700</v>
      </c>
    </row>
    <row r="40" customFormat="false" ht="15" hidden="false" customHeight="false" outlineLevel="0" collapsed="false">
      <c r="A40" s="26" t="s">
        <v>111</v>
      </c>
      <c r="C40" s="28"/>
      <c r="D40" s="28"/>
      <c r="E40" s="28"/>
      <c r="F40" s="28"/>
      <c r="G40" s="28"/>
      <c r="H40" s="28"/>
      <c r="I40" s="28"/>
      <c r="J40" s="28"/>
      <c r="K40" s="28"/>
      <c r="L40" s="29" t="n">
        <f aca="false">L39*Assumptions!$B$33*Assumptions!$B$34+Assumptions!$B$35</f>
        <v>2353861.12</v>
      </c>
      <c r="M40" s="29" t="n">
        <f aca="false">M39*Assumptions!$B$33*Assumptions!$B$34+Assumptions!$B$35</f>
        <v>2328101.76</v>
      </c>
      <c r="N40" s="29" t="n">
        <f aca="false">N39*Assumptions!$B$33*Assumptions!$B$34+Assumptions!$B$35</f>
        <v>2305876.48</v>
      </c>
      <c r="O40" s="29" t="n">
        <f aca="false">O39*Assumptions!$B$33*Assumptions!$B$34+Assumptions!$B$35</f>
        <v>2277174.4</v>
      </c>
      <c r="P40" s="29" t="n">
        <f aca="false">P39*Assumptions!$B$33*Assumptions!$B$34+Assumptions!$B$35</f>
        <v>2226296.32</v>
      </c>
      <c r="Q40" s="29" t="n">
        <f aca="false">Q39*Assumptions!$B$33*Assumptions!$B$34+Assumptions!$B$35</f>
        <v>2243544.32</v>
      </c>
      <c r="R40" s="29" t="n">
        <f aca="false">R39*Assumptions!$B$33*Assumptions!$B$34+Assumptions!$B$35</f>
        <v>2252435.84</v>
      </c>
      <c r="S40" s="29" t="n">
        <f aca="false">S39*Assumptions!$B$33*Assumptions!$B$34+Assumptions!$B$35</f>
        <v>2297491.84</v>
      </c>
      <c r="T40" s="29" t="n">
        <f aca="false">T39*Assumptions!$B$33*Assumptions!$B$34+Assumptions!$B$35</f>
        <v>2217848.32</v>
      </c>
      <c r="U40" s="29" t="n">
        <f aca="false">U39*Assumptions!$B$33*Assumptions!$B$34+Assumptions!$B$35</f>
        <v>2145096.96</v>
      </c>
      <c r="V40" s="29" t="n">
        <f aca="false">V39*Assumptions!$B$33*Assumptions!$B$34+Assumptions!$B$35</f>
        <v>2147758.08</v>
      </c>
      <c r="W40" s="29" t="n">
        <f aca="false">W39*Assumptions!$B$33*Assumptions!$B$34+Assumptions!$B$35</f>
        <v>2131284.48</v>
      </c>
      <c r="X40" s="29" t="n">
        <f aca="false">X39*Assumptions!$B$33*Assumptions!$B$34+Assumptions!$B$35</f>
        <v>2121132.8</v>
      </c>
    </row>
    <row r="41" customFormat="false" ht="15" hidden="false" customHeight="false" outlineLevel="0" collapsed="false">
      <c r="A41" s="26" t="s">
        <v>112</v>
      </c>
      <c r="C41" s="28"/>
      <c r="D41" s="28"/>
      <c r="E41" s="28"/>
      <c r="F41" s="28"/>
      <c r="G41" s="28"/>
      <c r="H41" s="28"/>
      <c r="I41" s="28"/>
      <c r="J41" s="28"/>
      <c r="K41" s="28"/>
      <c r="L41" s="31" t="n">
        <f aca="false">MAX(0,MIN(L38,L40)-L37)</f>
        <v>40000</v>
      </c>
      <c r="M41" s="31" t="n">
        <f aca="false">MAX(0,MIN(M38,M40)-M37)</f>
        <v>40000</v>
      </c>
      <c r="N41" s="31" t="n">
        <f aca="false">MAX(0,MIN(N38,N40)-N37)</f>
        <v>565000</v>
      </c>
      <c r="O41" s="31" t="n">
        <f aca="false">MAX(0,MIN(O38,O40)-O37)</f>
        <v>565000</v>
      </c>
      <c r="P41" s="31" t="n">
        <f aca="false">MAX(0,MIN(P38,P40)-P37)</f>
        <v>565000</v>
      </c>
      <c r="Q41" s="31" t="n">
        <f aca="false">MAX(0,MIN(Q38,Q40)-Q37)</f>
        <v>515000</v>
      </c>
      <c r="R41" s="31" t="n">
        <f aca="false">MAX(0,MIN(R38,R40)-R37)</f>
        <v>515000</v>
      </c>
      <c r="S41" s="31" t="n">
        <f aca="false">MAX(0,MIN(S38,S40)-S37)</f>
        <v>515000</v>
      </c>
      <c r="T41" s="31" t="n">
        <f aca="false">MAX(0,MIN(T38,T40)-T37)</f>
        <v>515000</v>
      </c>
      <c r="U41" s="31" t="n">
        <f aca="false">MAX(0,MIN(U38,U40)-U37)</f>
        <v>515000</v>
      </c>
      <c r="V41" s="31" t="n">
        <f aca="false">MAX(0,MIN(V38,V40)-V37)</f>
        <v>515000</v>
      </c>
      <c r="W41" s="31" t="n">
        <f aca="false">MAX(0,MIN(W38,W40)-W37)</f>
        <v>515000</v>
      </c>
      <c r="X41" s="31" t="n">
        <f aca="false">MAX(0,MIN(X38,X40)-X37)</f>
        <v>440000</v>
      </c>
    </row>
    <row r="42" customFormat="false" ht="15" hidden="false" customHeight="false" outlineLevel="0" collapsed="false">
      <c r="A42" s="26" t="s">
        <v>113</v>
      </c>
      <c r="C42" s="28"/>
      <c r="D42" s="28"/>
      <c r="E42" s="28"/>
      <c r="F42" s="28"/>
      <c r="G42" s="28"/>
      <c r="H42" s="28"/>
      <c r="I42" s="28"/>
      <c r="J42" s="28"/>
      <c r="K42" s="28"/>
      <c r="L42" s="29" t="n">
        <f aca="false">IF(L35&lt;Assumptions!$B$29,MIN(L41,CEILING((Assumptions!$B$29-L35)/Assumptions!$B$31,1)*Assumptions!$B$31),-MIN(L37,MAX(0,FLOOR((L35-Assumptions!$B$30)/Assumptions!$B$31,1)*Assumptions!$B$31)))</f>
        <v>-0</v>
      </c>
      <c r="M42" s="29" t="n">
        <f aca="false">IF(M35&lt;Assumptions!$B$29,MIN(M41,CEILING((Assumptions!$B$29-M35)/Assumptions!$B$31,1)*Assumptions!$B$31),-MIN(M37,MAX(0,FLOOR((M35-Assumptions!$B$30)/Assumptions!$B$31,1)*Assumptions!$B$31)))</f>
        <v>-25000</v>
      </c>
      <c r="N42" s="29" t="n">
        <f aca="false">IF(N35&lt;Assumptions!$B$29,MIN(N41,CEILING((Assumptions!$B$29-N35)/Assumptions!$B$31,1)*Assumptions!$B$31),-MIN(N37,MAX(0,FLOOR((N35-Assumptions!$B$30)/Assumptions!$B$31,1)*Assumptions!$B$31)))</f>
        <v>-0</v>
      </c>
      <c r="O42" s="29" t="n">
        <f aca="false">IF(O35&lt;Assumptions!$B$29,MIN(O41,CEILING((Assumptions!$B$29-O35)/Assumptions!$B$31,1)*Assumptions!$B$31),-MIN(O37,MAX(0,FLOOR((O35-Assumptions!$B$30)/Assumptions!$B$31,1)*Assumptions!$B$31)))</f>
        <v>-0</v>
      </c>
      <c r="P42" s="29" t="n">
        <f aca="false">IF(P35&lt;Assumptions!$B$29,MIN(P41,CEILING((Assumptions!$B$29-P35)/Assumptions!$B$31,1)*Assumptions!$B$31),-MIN(P37,MAX(0,FLOOR((P35-Assumptions!$B$30)/Assumptions!$B$31,1)*Assumptions!$B$31)))</f>
        <v>50000</v>
      </c>
      <c r="Q42" s="29" t="n">
        <f aca="false">IF(Q35&lt;Assumptions!$B$29,MIN(Q41,CEILING((Assumptions!$B$29-Q35)/Assumptions!$B$31,1)*Assumptions!$B$31),-MIN(Q37,MAX(0,FLOOR((Q35-Assumptions!$B$30)/Assumptions!$B$31,1)*Assumptions!$B$31)))</f>
        <v>-0</v>
      </c>
      <c r="R42" s="29" t="n">
        <f aca="false">IF(R35&lt;Assumptions!$B$29,MIN(R41,CEILING((Assumptions!$B$29-R35)/Assumptions!$B$31,1)*Assumptions!$B$31),-MIN(R37,MAX(0,FLOOR((R35-Assumptions!$B$30)/Assumptions!$B$31,1)*Assumptions!$B$31)))</f>
        <v>-0</v>
      </c>
      <c r="S42" s="29" t="n">
        <f aca="false">IF(S35&lt;Assumptions!$B$29,MIN(S41,CEILING((Assumptions!$B$29-S35)/Assumptions!$B$31,1)*Assumptions!$B$31),-MIN(S37,MAX(0,FLOOR((S35-Assumptions!$B$30)/Assumptions!$B$31,1)*Assumptions!$B$31)))</f>
        <v>-0</v>
      </c>
      <c r="T42" s="29" t="n">
        <f aca="false">IF(T35&lt;Assumptions!$B$29,MIN(T41,CEILING((Assumptions!$B$29-T35)/Assumptions!$B$31,1)*Assumptions!$B$31),-MIN(T37,MAX(0,FLOOR((T35-Assumptions!$B$30)/Assumptions!$B$31,1)*Assumptions!$B$31)))</f>
        <v>-0</v>
      </c>
      <c r="U42" s="29" t="n">
        <f aca="false">IF(U35&lt;Assumptions!$B$29,MIN(U41,CEILING((Assumptions!$B$29-U35)/Assumptions!$B$31,1)*Assumptions!$B$31),-MIN(U37,MAX(0,FLOOR((U35-Assumptions!$B$30)/Assumptions!$B$31,1)*Assumptions!$B$31)))</f>
        <v>-0</v>
      </c>
      <c r="V42" s="29" t="n">
        <f aca="false">IF(V35&lt;Assumptions!$B$29,MIN(V41,CEILING((Assumptions!$B$29-V35)/Assumptions!$B$31,1)*Assumptions!$B$31),-MIN(V37,MAX(0,FLOOR((V35-Assumptions!$B$30)/Assumptions!$B$31,1)*Assumptions!$B$31)))</f>
        <v>-0</v>
      </c>
      <c r="W42" s="29" t="n">
        <f aca="false">IF(W35&lt;Assumptions!$B$29,MIN(W41,CEILING((Assumptions!$B$29-W35)/Assumptions!$B$31,1)*Assumptions!$B$31),-MIN(W37,MAX(0,FLOOR((W35-Assumptions!$B$30)/Assumptions!$B$31,1)*Assumptions!$B$31)))</f>
        <v>75000</v>
      </c>
      <c r="X42" s="29" t="n">
        <f aca="false">IF(X35&lt;Assumptions!$B$29,MIN(X41,CEILING((Assumptions!$B$29-X35)/Assumptions!$B$31,1)*Assumptions!$B$31),-MIN(X37,MAX(0,FLOOR((X35-Assumptions!$B$30)/Assumptions!$B$31,1)*Assumptions!$B$31)))</f>
        <v>75000</v>
      </c>
      <c r="Y42" s="27" t="n">
        <f aca="false">SUM(L42:X42)</f>
        <v>175000</v>
      </c>
    </row>
    <row r="43" customFormat="false" ht="15" hidden="false" customHeight="false" outlineLevel="0" collapsed="false">
      <c r="A43" s="8" t="s">
        <v>114</v>
      </c>
      <c r="C43" s="28"/>
      <c r="D43" s="28"/>
      <c r="E43" s="28"/>
      <c r="F43" s="28"/>
      <c r="G43" s="28"/>
      <c r="H43" s="28"/>
      <c r="I43" s="28"/>
      <c r="J43" s="28"/>
      <c r="K43" s="28"/>
      <c r="L43" s="27" t="n">
        <f aca="false">L37+L42</f>
        <v>960000</v>
      </c>
      <c r="M43" s="27" t="n">
        <f aca="false">M37+M42</f>
        <v>935000</v>
      </c>
      <c r="N43" s="27" t="n">
        <f aca="false">N37+N42</f>
        <v>935000</v>
      </c>
      <c r="O43" s="27" t="n">
        <f aca="false">O37+O42</f>
        <v>935000</v>
      </c>
      <c r="P43" s="27" t="n">
        <f aca="false">P37+P42</f>
        <v>985000</v>
      </c>
      <c r="Q43" s="27" t="n">
        <f aca="false">Q37+Q42</f>
        <v>985000</v>
      </c>
      <c r="R43" s="27" t="n">
        <f aca="false">R37+R42</f>
        <v>985000</v>
      </c>
      <c r="S43" s="27" t="n">
        <f aca="false">S37+S42</f>
        <v>985000</v>
      </c>
      <c r="T43" s="27" t="n">
        <f aca="false">T37+T42</f>
        <v>985000</v>
      </c>
      <c r="U43" s="27" t="n">
        <f aca="false">U37+U42</f>
        <v>985000</v>
      </c>
      <c r="V43" s="27" t="n">
        <f aca="false">V37+V42</f>
        <v>985000</v>
      </c>
      <c r="W43" s="27" t="n">
        <f aca="false">W37+W42</f>
        <v>1060000</v>
      </c>
      <c r="X43" s="27" t="n">
        <f aca="false">X37+X42</f>
        <v>1135000</v>
      </c>
    </row>
    <row r="44" customFormat="false" ht="15" hidden="false" customHeight="false" outlineLevel="0" collapsed="false">
      <c r="C44" s="28"/>
      <c r="D44" s="28"/>
      <c r="E44" s="28"/>
      <c r="F44" s="28"/>
      <c r="G44" s="28"/>
      <c r="H44" s="28"/>
      <c r="I44" s="28"/>
      <c r="J44" s="28"/>
      <c r="K44" s="28"/>
    </row>
    <row r="45" customFormat="false" ht="15" hidden="false" customHeight="false" outlineLevel="0" collapsed="false">
      <c r="A45" s="8" t="s">
        <v>115</v>
      </c>
      <c r="C45" s="28"/>
      <c r="D45" s="28"/>
      <c r="E45" s="28"/>
      <c r="F45" s="28"/>
      <c r="G45" s="28"/>
      <c r="H45" s="28"/>
      <c r="I45" s="28"/>
      <c r="J45" s="28"/>
      <c r="K45" s="28"/>
      <c r="L45" s="32" t="n">
        <f aca="false">L35+L42</f>
        <v>534480</v>
      </c>
      <c r="M45" s="32" t="n">
        <f aca="false">M35+M42</f>
        <v>657950</v>
      </c>
      <c r="N45" s="32" t="n">
        <f aca="false">N35+N42</f>
        <v>557200</v>
      </c>
      <c r="O45" s="32" t="n">
        <f aca="false">O35+O42</f>
        <v>413330</v>
      </c>
      <c r="P45" s="32" t="n">
        <f aca="false">P35+P42</f>
        <v>415160</v>
      </c>
      <c r="Q45" s="32" t="n">
        <f aca="false">Q35+Q42</f>
        <v>563519</v>
      </c>
      <c r="R45" s="32" t="n">
        <f aca="false">R35+R42</f>
        <v>516089</v>
      </c>
      <c r="S45" s="32" t="n">
        <f aca="false">S35+S42</f>
        <v>552769</v>
      </c>
      <c r="T45" s="32" t="n">
        <f aca="false">T35+T42</f>
        <v>425099</v>
      </c>
      <c r="U45" s="32" t="n">
        <f aca="false">U35+U42</f>
        <v>484538</v>
      </c>
      <c r="V45" s="32" t="n">
        <f aca="false">V35+V42</f>
        <v>408918</v>
      </c>
      <c r="W45" s="32" t="n">
        <f aca="false">W35+W42</f>
        <v>424478</v>
      </c>
      <c r="X45" s="32" t="n">
        <f aca="false">X35+X42</f>
        <v>416738</v>
      </c>
    </row>
    <row r="46" customFormat="false" ht="15" hidden="false" customHeight="false" outlineLevel="0" collapsed="false">
      <c r="A46" s="26" t="s">
        <v>116</v>
      </c>
      <c r="C46" s="28"/>
      <c r="D46" s="28"/>
      <c r="E46" s="28"/>
      <c r="F46" s="28"/>
      <c r="G46" s="28"/>
      <c r="H46" s="28"/>
      <c r="I46" s="28"/>
      <c r="J46" s="28"/>
      <c r="K46" s="28"/>
      <c r="L46" s="31" t="n">
        <f aca="false">MAX(0,MIN(L38,L40)-L43)</f>
        <v>40000</v>
      </c>
      <c r="M46" s="31" t="n">
        <f aca="false">MAX(0,MIN(M38,M40)-M43)</f>
        <v>65000</v>
      </c>
      <c r="N46" s="31" t="n">
        <f aca="false">MAX(0,MIN(N38,N40)-N43)</f>
        <v>565000</v>
      </c>
      <c r="O46" s="31" t="n">
        <f aca="false">MAX(0,MIN(O38,O40)-O43)</f>
        <v>565000</v>
      </c>
      <c r="P46" s="31" t="n">
        <f aca="false">MAX(0,MIN(P38,P40)-P43)</f>
        <v>515000</v>
      </c>
      <c r="Q46" s="31" t="n">
        <f aca="false">MAX(0,MIN(Q38,Q40)-Q43)</f>
        <v>515000</v>
      </c>
      <c r="R46" s="31" t="n">
        <f aca="false">MAX(0,MIN(R38,R40)-R43)</f>
        <v>515000</v>
      </c>
      <c r="S46" s="31" t="n">
        <f aca="false">MAX(0,MIN(S38,S40)-S43)</f>
        <v>515000</v>
      </c>
      <c r="T46" s="31" t="n">
        <f aca="false">MAX(0,MIN(T38,T40)-T43)</f>
        <v>515000</v>
      </c>
      <c r="U46" s="31" t="n">
        <f aca="false">MAX(0,MIN(U38,U40)-U43)</f>
        <v>515000</v>
      </c>
      <c r="V46" s="31" t="n">
        <f aca="false">MAX(0,MIN(V38,V40)-V43)</f>
        <v>515000</v>
      </c>
      <c r="W46" s="31" t="n">
        <f aca="false">MAX(0,MIN(W38,W40)-W43)</f>
        <v>440000</v>
      </c>
      <c r="X46" s="31" t="n">
        <f aca="false">MAX(0,MIN(X38,X40)-X43)</f>
        <v>365000</v>
      </c>
    </row>
    <row r="47" customFormat="false" ht="15" hidden="false" customHeight="false" outlineLevel="0" collapsed="false">
      <c r="A47" s="8" t="s">
        <v>117</v>
      </c>
      <c r="C47" s="28"/>
      <c r="D47" s="28"/>
      <c r="E47" s="28"/>
      <c r="F47" s="28"/>
      <c r="G47" s="28"/>
      <c r="H47" s="28"/>
      <c r="I47" s="28"/>
      <c r="J47" s="28"/>
      <c r="K47" s="28"/>
      <c r="L47" s="32" t="n">
        <f aca="false">L45+L46</f>
        <v>574480</v>
      </c>
      <c r="M47" s="32" t="n">
        <f aca="false">M45+M46</f>
        <v>722950</v>
      </c>
      <c r="N47" s="32" t="n">
        <f aca="false">N45+N46</f>
        <v>1122200</v>
      </c>
      <c r="O47" s="32" t="n">
        <f aca="false">O45+O46</f>
        <v>978330</v>
      </c>
      <c r="P47" s="32" t="n">
        <f aca="false">P45+P46</f>
        <v>930160</v>
      </c>
      <c r="Q47" s="32" t="n">
        <f aca="false">Q45+Q46</f>
        <v>1078519</v>
      </c>
      <c r="R47" s="32" t="n">
        <f aca="false">R45+R46</f>
        <v>1031089</v>
      </c>
      <c r="S47" s="32" t="n">
        <f aca="false">S45+S46</f>
        <v>1067769</v>
      </c>
      <c r="T47" s="32" t="n">
        <f aca="false">T45+T46</f>
        <v>940099</v>
      </c>
      <c r="U47" s="32" t="n">
        <f aca="false">U45+U46</f>
        <v>999538</v>
      </c>
      <c r="V47" s="32" t="n">
        <f aca="false">V45+V46</f>
        <v>923918</v>
      </c>
      <c r="W47" s="32" t="n">
        <f aca="false">W45+W46</f>
        <v>864478</v>
      </c>
      <c r="X47" s="32" t="n">
        <f aca="false">X45+X46</f>
        <v>781738</v>
      </c>
    </row>
    <row r="48" customFormat="false" ht="15" hidden="false" customHeight="false" outlineLevel="0" collapsed="false">
      <c r="A48" s="26" t="s">
        <v>118</v>
      </c>
      <c r="C48" s="28"/>
      <c r="D48" s="28"/>
      <c r="E48" s="28"/>
      <c r="F48" s="28"/>
      <c r="G48" s="28"/>
      <c r="H48" s="28"/>
      <c r="I48" s="28"/>
      <c r="J48" s="28"/>
      <c r="K48" s="28"/>
      <c r="L48" s="33" t="str">
        <f aca="false">IF(L45&lt;Assumptions!$B$29-1,"Shortfall",IF(L47&lt;Assumptions!$B$36,"Below floor","OK"))</f>
        <v>Below floor</v>
      </c>
      <c r="M48" s="33" t="str">
        <f aca="false">IF(M45&lt;Assumptions!$B$29-1,"Shortfall",IF(M47&lt;Assumptions!$B$36,"Below floor","OK"))</f>
        <v>Below floor</v>
      </c>
      <c r="N48" s="33" t="str">
        <f aca="false">IF(N45&lt;Assumptions!$B$29-1,"Shortfall",IF(N47&lt;Assumptions!$B$36,"Below floor","OK"))</f>
        <v>OK</v>
      </c>
      <c r="O48" s="33" t="str">
        <f aca="false">IF(O45&lt;Assumptions!$B$29-1,"Shortfall",IF(O47&lt;Assumptions!$B$36,"Below floor","OK"))</f>
        <v>OK</v>
      </c>
      <c r="P48" s="33" t="str">
        <f aca="false">IF(P45&lt;Assumptions!$B$29-1,"Shortfall",IF(P47&lt;Assumptions!$B$36,"Below floor","OK"))</f>
        <v>OK</v>
      </c>
      <c r="Q48" s="33" t="str">
        <f aca="false">IF(Q45&lt;Assumptions!$B$29-1,"Shortfall",IF(Q47&lt;Assumptions!$B$36,"Below floor","OK"))</f>
        <v>OK</v>
      </c>
      <c r="R48" s="33" t="str">
        <f aca="false">IF(R45&lt;Assumptions!$B$29-1,"Shortfall",IF(R47&lt;Assumptions!$B$36,"Below floor","OK"))</f>
        <v>OK</v>
      </c>
      <c r="S48" s="33" t="str">
        <f aca="false">IF(S45&lt;Assumptions!$B$29-1,"Shortfall",IF(S47&lt;Assumptions!$B$36,"Below floor","OK"))</f>
        <v>OK</v>
      </c>
      <c r="T48" s="33" t="str">
        <f aca="false">IF(T45&lt;Assumptions!$B$29-1,"Shortfall",IF(T47&lt;Assumptions!$B$36,"Below floor","OK"))</f>
        <v>OK</v>
      </c>
      <c r="U48" s="33" t="str">
        <f aca="false">IF(U45&lt;Assumptions!$B$29-1,"Shortfall",IF(U47&lt;Assumptions!$B$36,"Below floor","OK"))</f>
        <v>OK</v>
      </c>
      <c r="V48" s="33" t="str">
        <f aca="false">IF(V45&lt;Assumptions!$B$29-1,"Shortfall",IF(V47&lt;Assumptions!$B$36,"Below floor","OK"))</f>
        <v>OK</v>
      </c>
      <c r="W48" s="33" t="str">
        <f aca="false">IF(W45&lt;Assumptions!$B$29-1,"Shortfall",IF(W47&lt;Assumptions!$B$36,"Below floor","OK"))</f>
        <v>OK</v>
      </c>
      <c r="X48" s="33" t="str">
        <f aca="false">IF(X45&lt;Assumptions!$B$29-1,"Shortfall",IF(X47&lt;Assumptions!$B$36,"Below floor","OK"))</f>
        <v>OK</v>
      </c>
    </row>
  </sheetData>
  <conditionalFormatting sqref="L48:X48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"Below floor"</formula>
    </cfRule>
    <cfRule type="cellIs" priority="4" operator="equal" aboveAverage="0" equalAverage="0" bottom="0" percent="0" rank="0" text="" dxfId="2">
      <formula>"Shortfall"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50"/>
  </cols>
  <sheetData>
    <row r="1" customFormat="false" ht="17.35" hidden="false" customHeight="false" outlineLevel="0" collapsed="false">
      <c r="A1" s="13" t="s">
        <v>119</v>
      </c>
    </row>
    <row r="2" customFormat="false" ht="15" hidden="false" customHeight="false" outlineLevel="0" collapsed="false">
      <c r="A2" s="4" t="s">
        <v>120</v>
      </c>
    </row>
    <row r="3" customFormat="false" ht="15" hidden="false" customHeight="false" outlineLevel="0" collapsed="false">
      <c r="A3" s="6" t="s">
        <v>121</v>
      </c>
      <c r="B3" s="7" t="s">
        <v>28</v>
      </c>
      <c r="C3" s="7"/>
      <c r="D3" s="7" t="s">
        <v>29</v>
      </c>
    </row>
    <row r="4" customFormat="false" ht="15" hidden="false" customHeight="false" outlineLevel="0" collapsed="false">
      <c r="A4" s="9" t="s">
        <v>122</v>
      </c>
      <c r="B4" s="29" t="n">
        <f aca="false">Assumptions!$B$5</f>
        <v>585000</v>
      </c>
    </row>
    <row r="5" customFormat="false" ht="15" hidden="false" customHeight="false" outlineLevel="0" collapsed="false">
      <c r="A5" s="9" t="s">
        <v>89</v>
      </c>
      <c r="B5" s="29" t="n">
        <f aca="false">13_Week_CF!Y16</f>
        <v>7909300</v>
      </c>
    </row>
    <row r="6" customFormat="false" ht="15" hidden="false" customHeight="false" outlineLevel="0" collapsed="false">
      <c r="A6" s="9" t="s">
        <v>102</v>
      </c>
      <c r="B6" s="29" t="n">
        <f aca="false">-13_Week_CF!Y30</f>
        <v>-8252562</v>
      </c>
    </row>
    <row r="7" customFormat="false" ht="15" hidden="false" customHeight="false" outlineLevel="0" collapsed="false">
      <c r="A7" s="9" t="s">
        <v>123</v>
      </c>
      <c r="B7" s="29" t="n">
        <f aca="false">13_Week_CF!Y42</f>
        <v>175000</v>
      </c>
    </row>
    <row r="8" customFormat="false" ht="15" hidden="false" customHeight="false" outlineLevel="0" collapsed="false">
      <c r="A8" s="8" t="s">
        <v>124</v>
      </c>
      <c r="B8" s="34" t="n">
        <f aca="false">13_Week_CF!X45</f>
        <v>416738</v>
      </c>
      <c r="D8" s="4" t="s">
        <v>125</v>
      </c>
    </row>
    <row r="9" customFormat="false" ht="15" hidden="false" customHeight="false" outlineLevel="0" collapsed="false">
      <c r="A9" s="9" t="s">
        <v>126</v>
      </c>
      <c r="B9" s="35" t="n">
        <f aca="false">B4+B5+B6+B7-B8</f>
        <v>0</v>
      </c>
    </row>
    <row r="11" customFormat="false" ht="15" hidden="false" customHeight="false" outlineLevel="0" collapsed="false">
      <c r="A11" s="9" t="s">
        <v>32</v>
      </c>
      <c r="B11" s="29" t="n">
        <f aca="false">Assumptions!$B$6</f>
        <v>960000</v>
      </c>
    </row>
    <row r="12" customFormat="false" ht="15" hidden="false" customHeight="false" outlineLevel="0" collapsed="false">
      <c r="A12" s="9" t="s">
        <v>127</v>
      </c>
      <c r="B12" s="29" t="n">
        <f aca="false">13_Week_CF!X43</f>
        <v>1135000</v>
      </c>
    </row>
    <row r="13" customFormat="false" ht="15" hidden="false" customHeight="false" outlineLevel="0" collapsed="false">
      <c r="A13" s="9" t="s">
        <v>128</v>
      </c>
      <c r="B13" s="29" t="n">
        <f aca="false">MAX(13_Week_CF!L43:X43)</f>
        <v>1135000</v>
      </c>
      <c r="D13" s="4" t="s">
        <v>129</v>
      </c>
    </row>
    <row r="15" customFormat="false" ht="15" hidden="false" customHeight="false" outlineLevel="0" collapsed="false">
      <c r="A15" s="8" t="s">
        <v>130</v>
      </c>
      <c r="B15" s="34" t="n">
        <f aca="false">MIN(13_Week_CF!L47:X47)</f>
        <v>574480</v>
      </c>
      <c r="D15" s="4" t="s">
        <v>131</v>
      </c>
    </row>
    <row r="16" customFormat="false" ht="15" hidden="false" customHeight="false" outlineLevel="0" collapsed="false">
      <c r="A16" s="9" t="s">
        <v>132</v>
      </c>
      <c r="B16" s="36" t="n">
        <f aca="false">INDEX(13_Week_CF!L5:X5,MATCH(B15,13_Week_CF!L47:X47,0))</f>
        <v>46325</v>
      </c>
    </row>
    <row r="17" customFormat="false" ht="15" hidden="false" customHeight="false" outlineLevel="0" collapsed="false">
      <c r="A17" s="9" t="s">
        <v>133</v>
      </c>
      <c r="B17" s="29" t="n">
        <f aca="false">Assumptions!$B$36</f>
        <v>750000</v>
      </c>
    </row>
    <row r="18" customFormat="false" ht="15" hidden="false" customHeight="false" outlineLevel="0" collapsed="false">
      <c r="A18" s="9" t="s">
        <v>134</v>
      </c>
      <c r="B18" s="37" t="n">
        <f aca="false">COUNTIF(13_Week_CF!L48:X48,"Below floor")+COUNTIF(13_Week_CF!L48:X48,"Shortfall")</f>
        <v>2</v>
      </c>
    </row>
    <row r="19" customFormat="false" ht="15" hidden="false" customHeight="false" outlineLevel="0" collapsed="false">
      <c r="A19" s="9" t="s">
        <v>135</v>
      </c>
      <c r="B19" s="29" t="n">
        <f aca="false">13_Week_CF!Y12</f>
        <v>4644300</v>
      </c>
    </row>
    <row r="20" customFormat="false" ht="15" hidden="false" customHeight="false" outlineLevel="0" collapsed="false">
      <c r="A20" s="9" t="s">
        <v>136</v>
      </c>
      <c r="B20" s="29" t="n">
        <f aca="false">13_Week_CF!Y8</f>
        <v>4335000</v>
      </c>
    </row>
    <row r="22" customFormat="false" ht="15" hidden="false" customHeight="false" outlineLevel="0" collapsed="false">
      <c r="A22" s="6" t="s">
        <v>80</v>
      </c>
      <c r="B22" s="7" t="s">
        <v>115</v>
      </c>
      <c r="C22" s="7"/>
      <c r="D22" s="7" t="s">
        <v>137</v>
      </c>
    </row>
    <row r="23" customFormat="false" ht="15" hidden="false" customHeight="false" outlineLevel="0" collapsed="false">
      <c r="A23" s="36" t="n">
        <f aca="false">13_Week_CF!L5</f>
        <v>46325</v>
      </c>
      <c r="B23" s="29" t="n">
        <f aca="false">13_Week_CF!L45</f>
        <v>534480</v>
      </c>
      <c r="D23" s="29" t="n">
        <f aca="false">13_Week_CF!L47</f>
        <v>574480</v>
      </c>
    </row>
    <row r="24" customFormat="false" ht="15" hidden="false" customHeight="false" outlineLevel="0" collapsed="false">
      <c r="A24" s="36" t="n">
        <f aca="false">13_Week_CF!M5</f>
        <v>46332</v>
      </c>
      <c r="B24" s="29" t="n">
        <f aca="false">13_Week_CF!M45</f>
        <v>657950</v>
      </c>
      <c r="D24" s="29" t="n">
        <f aca="false">13_Week_CF!M47</f>
        <v>722950</v>
      </c>
    </row>
    <row r="25" customFormat="false" ht="15" hidden="false" customHeight="false" outlineLevel="0" collapsed="false">
      <c r="A25" s="36" t="n">
        <f aca="false">13_Week_CF!N5</f>
        <v>46339</v>
      </c>
      <c r="B25" s="29" t="n">
        <f aca="false">13_Week_CF!N45</f>
        <v>557200</v>
      </c>
      <c r="D25" s="29" t="n">
        <f aca="false">13_Week_CF!N47</f>
        <v>1122200</v>
      </c>
    </row>
    <row r="26" customFormat="false" ht="15" hidden="false" customHeight="false" outlineLevel="0" collapsed="false">
      <c r="A26" s="36" t="n">
        <f aca="false">13_Week_CF!O5</f>
        <v>46346</v>
      </c>
      <c r="B26" s="29" t="n">
        <f aca="false">13_Week_CF!O45</f>
        <v>413330</v>
      </c>
      <c r="D26" s="29" t="n">
        <f aca="false">13_Week_CF!O47</f>
        <v>978330</v>
      </c>
    </row>
    <row r="27" customFormat="false" ht="15" hidden="false" customHeight="false" outlineLevel="0" collapsed="false">
      <c r="A27" s="36" t="n">
        <f aca="false">13_Week_CF!P5</f>
        <v>46353</v>
      </c>
      <c r="B27" s="29" t="n">
        <f aca="false">13_Week_CF!P45</f>
        <v>415160</v>
      </c>
      <c r="D27" s="29" t="n">
        <f aca="false">13_Week_CF!P47</f>
        <v>930160</v>
      </c>
    </row>
    <row r="28" customFormat="false" ht="15" hidden="false" customHeight="false" outlineLevel="0" collapsed="false">
      <c r="A28" s="36" t="n">
        <f aca="false">13_Week_CF!Q5</f>
        <v>46360</v>
      </c>
      <c r="B28" s="29" t="n">
        <f aca="false">13_Week_CF!Q45</f>
        <v>563519</v>
      </c>
      <c r="D28" s="29" t="n">
        <f aca="false">13_Week_CF!Q47</f>
        <v>1078519</v>
      </c>
    </row>
    <row r="29" customFormat="false" ht="15" hidden="false" customHeight="false" outlineLevel="0" collapsed="false">
      <c r="A29" s="36" t="n">
        <f aca="false">13_Week_CF!R5</f>
        <v>46367</v>
      </c>
      <c r="B29" s="29" t="n">
        <f aca="false">13_Week_CF!R45</f>
        <v>516089</v>
      </c>
      <c r="D29" s="29" t="n">
        <f aca="false">13_Week_CF!R47</f>
        <v>1031089</v>
      </c>
    </row>
    <row r="30" customFormat="false" ht="15" hidden="false" customHeight="false" outlineLevel="0" collapsed="false">
      <c r="A30" s="36" t="n">
        <f aca="false">13_Week_CF!S5</f>
        <v>46374</v>
      </c>
      <c r="B30" s="29" t="n">
        <f aca="false">13_Week_CF!S45</f>
        <v>552769</v>
      </c>
      <c r="D30" s="29" t="n">
        <f aca="false">13_Week_CF!S47</f>
        <v>1067769</v>
      </c>
    </row>
    <row r="31" customFormat="false" ht="15" hidden="false" customHeight="false" outlineLevel="0" collapsed="false">
      <c r="A31" s="36" t="n">
        <f aca="false">13_Week_CF!T5</f>
        <v>46381</v>
      </c>
      <c r="B31" s="29" t="n">
        <f aca="false">13_Week_CF!T45</f>
        <v>425099</v>
      </c>
      <c r="D31" s="29" t="n">
        <f aca="false">13_Week_CF!T47</f>
        <v>940099</v>
      </c>
    </row>
    <row r="32" customFormat="false" ht="15" hidden="false" customHeight="false" outlineLevel="0" collapsed="false">
      <c r="A32" s="36" t="n">
        <f aca="false">13_Week_CF!U5</f>
        <v>46388</v>
      </c>
      <c r="B32" s="29" t="n">
        <f aca="false">13_Week_CF!U45</f>
        <v>484538</v>
      </c>
      <c r="D32" s="29" t="n">
        <f aca="false">13_Week_CF!U47</f>
        <v>999538</v>
      </c>
    </row>
    <row r="33" customFormat="false" ht="15" hidden="false" customHeight="false" outlineLevel="0" collapsed="false">
      <c r="A33" s="36" t="n">
        <f aca="false">13_Week_CF!V5</f>
        <v>46395</v>
      </c>
      <c r="B33" s="29" t="n">
        <f aca="false">13_Week_CF!V45</f>
        <v>408918</v>
      </c>
      <c r="D33" s="29" t="n">
        <f aca="false">13_Week_CF!V47</f>
        <v>923918</v>
      </c>
    </row>
    <row r="34" customFormat="false" ht="15" hidden="false" customHeight="false" outlineLevel="0" collapsed="false">
      <c r="A34" s="36" t="n">
        <f aca="false">13_Week_CF!W5</f>
        <v>46402</v>
      </c>
      <c r="B34" s="29" t="n">
        <f aca="false">13_Week_CF!W45</f>
        <v>424478</v>
      </c>
      <c r="D34" s="29" t="n">
        <f aca="false">13_Week_CF!W47</f>
        <v>864478</v>
      </c>
    </row>
    <row r="35" customFormat="false" ht="15" hidden="false" customHeight="false" outlineLevel="0" collapsed="false">
      <c r="A35" s="36" t="n">
        <f aca="false">13_Week_CF!X5</f>
        <v>46409</v>
      </c>
      <c r="B35" s="29" t="n">
        <f aca="false">13_Week_CF!X45</f>
        <v>416738</v>
      </c>
      <c r="D35" s="29" t="n">
        <f aca="false">13_Week_CF!X47</f>
        <v>781738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2026-10-23T22:51:53Z</dcterms:created>
  <dc:creator>openpyxl</dc:creator>
  <dc:description/>
  <dc:language>en-US</dc:language>
  <cp:lastModifiedBy/>
  <dcterms:modified xsi:type="dcterms:W3CDTF">2026-10-23T22:51:53Z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