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Model" sheetId="3" state="visible" r:id="rId5"/>
    <sheet name="Debt_Schedule" sheetId="4" state="visible" r:id="rId6"/>
    <sheet name="Covenants" sheetId="5" state="visible" r:id="rId7"/>
    <sheet name="Scenario_Compa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<sst xmlns="http://schemas.openxmlformats.org/spreadsheetml/2006/main" count="428" uniqueCount="207">
  <si>
    <t xml:space="preserve">Three-Statement Financial Model</t>
  </si>
  <si>
    <t xml:space="preserve">Brazos Bend Fabrication, LLC  |  FY2023A to FY2029P  |  Integrated income statement, balance sheet, and cash flow</t>
  </si>
  <si>
    <t xml:space="preserve">Prepared by Matthew Dial  |  Portfolio work sample  |  October 2026</t>
  </si>
  <si>
    <t xml:space="preserve">DISCLAIMER: Brazos Bend Fabrication, LLC and all figures are fictional and were created for portfolio demonstration only. No real company or employer data is used.</t>
  </si>
  <si>
    <t xml:space="preserve">Tab</t>
  </si>
  <si>
    <t xml:space="preserve">What it shows</t>
  </si>
  <si>
    <t xml:space="preserve">Assumptions</t>
  </si>
  <si>
    <t xml:space="preserve">Scenario selector (Base / Upside / Downside) and every driver by year</t>
  </si>
  <si>
    <t xml:space="preserve">Model</t>
  </si>
  <si>
    <t xml:space="preserve">Integrated income statement, balance sheet, and cash flow with PP&amp;E roll-forward and balance checks</t>
  </si>
  <si>
    <t xml:space="preserve">Debt_Schedule</t>
  </si>
  <si>
    <t xml:space="preserve">Existing term loan, new $2.8MM equipment loan, and revolver with automatic draw / repay to hold minimum cash</t>
  </si>
  <si>
    <t xml:space="preserve">Covenants</t>
  </si>
  <si>
    <t xml:space="preserve">Bank covenant tests each projected year (DSCR, funded debt / EBITDA) and the distribution restriction trigger</t>
  </si>
  <si>
    <t xml:space="preserve">Scenario_Compare</t>
  </si>
  <si>
    <t xml:space="preserve">Side-by-side results for all three scenarios</t>
  </si>
  <si>
    <t xml:space="preserve">How to use</t>
  </si>
  <si>
    <t xml:space="preserve">1. Pick a scenario in Assumptions!B4 (1 = Base, 2 = Upside, 3 = Downside).</t>
  </si>
  <si>
    <t xml:space="preserve">2. Edit any blue driver. All three statements, the debt schedule, and covenants recalculate.</t>
  </si>
  <si>
    <t xml:space="preserve">3. Balance sheet and cash checks on the Model tab must stay at zero.</t>
  </si>
  <si>
    <t xml:space="preserve">Color legend</t>
  </si>
  <si>
    <t xml:space="preserve">Blue text</t>
  </si>
  <si>
    <t xml:space="preserve">Input or assumption</t>
  </si>
  <si>
    <t xml:space="preserve">Black text</t>
  </si>
  <si>
    <t xml:space="preserve">Formula on the same sheet</t>
  </si>
  <si>
    <t xml:space="preserve">Green text</t>
  </si>
  <si>
    <t xml:space="preserve">Formula linking to another sheet</t>
  </si>
  <si>
    <t xml:space="preserve">Yellow fill</t>
  </si>
  <si>
    <t xml:space="preserve">Key output or check</t>
  </si>
  <si>
    <t xml:space="preserve">Assumptions &amp; Scenarios</t>
  </si>
  <si>
    <t xml:space="preserve">FY2026E reflects the September 2026 full-year forecast (Monthly_Close_Pack). Projection years switch with the scenario selector.</t>
  </si>
  <si>
    <t xml:space="preserve">Active scenario (1 = Base, 2 = Upside, 3 = Downside)</t>
  </si>
  <si>
    <t xml:space="preserve">Scenario name</t>
  </si>
  <si>
    <t xml:space="preserve">Revenue growth</t>
  </si>
  <si>
    <t xml:space="preserve">FY2026E</t>
  </si>
  <si>
    <t xml:space="preserve">FY2027P</t>
  </si>
  <si>
    <t xml:space="preserve">FY2028P</t>
  </si>
  <si>
    <t xml:space="preserve">FY2029P</t>
  </si>
  <si>
    <t xml:space="preserve">Notes</t>
  </si>
  <si>
    <t xml:space="preserve">Base</t>
  </si>
  <si>
    <t xml:space="preserve">FY2026E per Sept forecast ($18.45MM). Downside = construction and energy recession in FY2027</t>
  </si>
  <si>
    <t xml:space="preserve">Upside</t>
  </si>
  <si>
    <t xml:space="preserve">Downside</t>
  </si>
  <si>
    <t xml:space="preserve">Selected</t>
  </si>
  <si>
    <t xml:space="preserve">Gross margin</t>
  </si>
  <si>
    <t xml:space="preserve">In-sourced laser cutting lifts margin from FY2027; downside assumes steel squeeze and lost volume</t>
  </si>
  <si>
    <t xml:space="preserve">Other SG&amp;A % of revenue</t>
  </si>
  <si>
    <t xml:space="preserve">FY2026E per Sept forecast ($2.12MM)</t>
  </si>
  <si>
    <t xml:space="preserve">Officer compensation growth</t>
  </si>
  <si>
    <t xml:space="preserve">Owners freeze pay in downside</t>
  </si>
  <si>
    <t xml:space="preserve">Days sales outstanding</t>
  </si>
  <si>
    <t xml:space="preserve">On revenue</t>
  </si>
  <si>
    <t xml:space="preserve">Days inventory outstanding</t>
  </si>
  <si>
    <t xml:space="preserve">On cost of goods sold</t>
  </si>
  <si>
    <t xml:space="preserve">Days payables outstanding</t>
  </si>
  <si>
    <t xml:space="preserve">Maintenance capex % of revenue</t>
  </si>
  <si>
    <t xml:space="preserve">Downside defers maintenance</t>
  </si>
  <si>
    <t xml:space="preserve">Distributions % of net income</t>
  </si>
  <si>
    <t xml:space="preserve">Mostly tax distributions on pass-through income</t>
  </si>
  <si>
    <t xml:space="preserve">Fixed inputs</t>
  </si>
  <si>
    <t xml:space="preserve">Value</t>
  </si>
  <si>
    <t xml:space="preserve">Prepaids % of revenue</t>
  </si>
  <si>
    <t xml:space="preserve">FY2025 level</t>
  </si>
  <si>
    <t xml:space="preserve">Accrued liabilities % of COGS</t>
  </si>
  <si>
    <t xml:space="preserve">Depreciation rate on beginning base gross PP&amp;E</t>
  </si>
  <si>
    <t xml:space="preserve">FY2026 forecast run rate ($708K on $9.0MM)</t>
  </si>
  <si>
    <t xml:space="preserve">New equipment cost (purchased FY2027)</t>
  </si>
  <si>
    <t xml:space="preserve">Package 01 request</t>
  </si>
  <si>
    <t xml:space="preserve">New equipment useful life (years)</t>
  </si>
  <si>
    <t xml:space="preserve">Equipment deposit paid in FY2026E</t>
  </si>
  <si>
    <t xml:space="preserve">Company cash equity; balance paid at delivery in Jan 2027</t>
  </si>
  <si>
    <t xml:space="preserve">New equipment term loan</t>
  </si>
  <si>
    <t xml:space="preserve">80% of cost; funded January 2027</t>
  </si>
  <si>
    <t xml:space="preserve">Term loan fixed rate</t>
  </si>
  <si>
    <t xml:space="preserve">Term loan amortization (months)</t>
  </si>
  <si>
    <t xml:space="preserve">Guarantor equity contribution (FY2027)</t>
  </si>
  <si>
    <t xml:space="preserve">Balance of equity from company cash</t>
  </si>
  <si>
    <t xml:space="preserve">Existing term loan rate</t>
  </si>
  <si>
    <t xml:space="preserve">Revolver all-in rate (SOFR + 2.75%)</t>
  </si>
  <si>
    <t xml:space="preserve">Illustrative</t>
  </si>
  <si>
    <t xml:space="preserve">Revolver commitment</t>
  </si>
  <si>
    <t xml:space="preserve">Increased from $1.0MM in Nov 2026</t>
  </si>
  <si>
    <t xml:space="preserve">Minimum operating cash</t>
  </si>
  <si>
    <t xml:space="preserve">Treasury policy</t>
  </si>
  <si>
    <t xml:space="preserve">Covenant: minimum DSCR</t>
  </si>
  <si>
    <t xml:space="preserve">Covenant: maximum funded debt / EBITDA</t>
  </si>
  <si>
    <t xml:space="preserve">Distribution restriction trigger (DSCR)</t>
  </si>
  <si>
    <t xml:space="preserve">Below this, distributions limited to tax amounts</t>
  </si>
  <si>
    <t xml:space="preserve">Existing term loan principal schedule</t>
  </si>
  <si>
    <t xml:space="preserve">Scheduled principal</t>
  </si>
  <si>
    <t xml:space="preserve">Integrated Financial Statements</t>
  </si>
  <si>
    <t xml:space="preserve">$ in dollars  |  FYE December 31  |  Scenario: see Assumptions!B4</t>
  </si>
  <si>
    <t xml:space="preserve">Income Statement</t>
  </si>
  <si>
    <t xml:space="preserve">FY2023A</t>
  </si>
  <si>
    <t xml:space="preserve">FY2024A</t>
  </si>
  <si>
    <t xml:space="preserve">FY2025A</t>
  </si>
  <si>
    <t xml:space="preserve">Revenue</t>
  </si>
  <si>
    <t xml:space="preserve">Cost of goods sold</t>
  </si>
  <si>
    <t xml:space="preserve">Gross profit</t>
  </si>
  <si>
    <t xml:space="preserve">Officer compensation</t>
  </si>
  <si>
    <t xml:space="preserve">Other SG&amp;A</t>
  </si>
  <si>
    <t xml:space="preserve">EBITDA</t>
  </si>
  <si>
    <t xml:space="preserve">Depreciation &amp; amortization</t>
  </si>
  <si>
    <t xml:space="preserve">EBIT</t>
  </si>
  <si>
    <t xml:space="preserve">Interest expense</t>
  </si>
  <si>
    <t xml:space="preserve">Other income (expense)</t>
  </si>
  <si>
    <t xml:space="preserve">Net income (pass-through, pre-tax)</t>
  </si>
  <si>
    <t xml:space="preserve">Distributions to members</t>
  </si>
  <si>
    <t xml:space="preserve">Gross margin %</t>
  </si>
  <si>
    <t xml:space="preserve">EBITDA margin %</t>
  </si>
  <si>
    <t xml:space="preserve">Balance Sheet</t>
  </si>
  <si>
    <t xml:space="preserve">Cash</t>
  </si>
  <si>
    <t xml:space="preserve">Accounts receivable</t>
  </si>
  <si>
    <t xml:space="preserve">Inventory</t>
  </si>
  <si>
    <t xml:space="preserve">Prepaids &amp; other current</t>
  </si>
  <si>
    <t xml:space="preserve">Total current assets</t>
  </si>
  <si>
    <t xml:space="preserve">Gross PP&amp;E</t>
  </si>
  <si>
    <t xml:space="preserve">Accumulated depreciation</t>
  </si>
  <si>
    <t xml:space="preserve">Net PP&amp;E</t>
  </si>
  <si>
    <t xml:space="preserve">Other assets</t>
  </si>
  <si>
    <t xml:space="preserve">Total assets</t>
  </si>
  <si>
    <t xml:space="preserve">Revolving line of credit</t>
  </si>
  <si>
    <t xml:space="preserve">Current portion of term debt</t>
  </si>
  <si>
    <t xml:space="preserve">Accounts payable</t>
  </si>
  <si>
    <t xml:space="preserve">Accrued liabilities</t>
  </si>
  <si>
    <t xml:space="preserve">Total current liabilities</t>
  </si>
  <si>
    <t xml:space="preserve">Term debt, net of current</t>
  </si>
  <si>
    <t xml:space="preserve">Total liabilities</t>
  </si>
  <si>
    <t xml:space="preserve">Members' equity</t>
  </si>
  <si>
    <t xml:space="preserve">Total liabilities &amp; equity</t>
  </si>
  <si>
    <t xml:space="preserve">Balance check (must be zero)</t>
  </si>
  <si>
    <t xml:space="preserve">Cash Flow Statement</t>
  </si>
  <si>
    <t xml:space="preserve">Net income</t>
  </si>
  <si>
    <t xml:space="preserve">+ Depreciation &amp; amortization</t>
  </si>
  <si>
    <t xml:space="preserve">(Increase) decrease in receivables</t>
  </si>
  <si>
    <t xml:space="preserve">(Increase) decrease in inventory</t>
  </si>
  <si>
    <t xml:space="preserve">(Increase) decrease in prepaids</t>
  </si>
  <si>
    <t xml:space="preserve">Increase (decrease) in payables</t>
  </si>
  <si>
    <t xml:space="preserve">Increase (decrease) in accrued</t>
  </si>
  <si>
    <t xml:space="preserve">Cash from operations</t>
  </si>
  <si>
    <t xml:space="preserve">Maintenance capex</t>
  </si>
  <si>
    <t xml:space="preserve">Historical cash flow detail is in Package 01 (Spread tab).</t>
  </si>
  <si>
    <t xml:space="preserve">New equipment purchase</t>
  </si>
  <si>
    <t xml:space="preserve">(Increase) decrease in other assets</t>
  </si>
  <si>
    <t xml:space="preserve">Cash from investing</t>
  </si>
  <si>
    <t xml:space="preserve">Term loan proceeds</t>
  </si>
  <si>
    <t xml:space="preserve">Term debt principal repaid</t>
  </si>
  <si>
    <t xml:space="preserve">Revolver draw (repayment)</t>
  </si>
  <si>
    <t xml:space="preserve">Owner capital contribution</t>
  </si>
  <si>
    <t xml:space="preserve">Distributions</t>
  </si>
  <si>
    <t xml:space="preserve">Cash from financing</t>
  </si>
  <si>
    <t xml:space="preserve">Net change in cash</t>
  </si>
  <si>
    <t xml:space="preserve">Cash check vs balance sheet (must be zero)</t>
  </si>
  <si>
    <t xml:space="preserve">PP&amp;E and Depreciation</t>
  </si>
  <si>
    <t xml:space="preserve">New equipment capex</t>
  </si>
  <si>
    <t xml:space="preserve">Depreciation: base PP&amp;E</t>
  </si>
  <si>
    <t xml:space="preserve">Depreciation: new equipment</t>
  </si>
  <si>
    <t xml:space="preserve">Base gross PP&amp;E (excludes new equipment)</t>
  </si>
  <si>
    <t xml:space="preserve">Debt Schedule</t>
  </si>
  <si>
    <t xml:space="preserve">Interest on beginning balances (avoids circular references); new term loan interest and principal use exact monthly amortization</t>
  </si>
  <si>
    <t xml:space="preserve">Existing term loan</t>
  </si>
  <si>
    <t xml:space="preserve">Beginning balance</t>
  </si>
  <si>
    <t xml:space="preserve">Ending balance</t>
  </si>
  <si>
    <t xml:space="preserve">Interest</t>
  </si>
  <si>
    <t xml:space="preserve">Proceeds</t>
  </si>
  <si>
    <t xml:space="preserve">Principal paid</t>
  </si>
  <si>
    <t xml:space="preserve">Total term debt (existing + new)</t>
  </si>
  <si>
    <t xml:space="preserve">Current portion (next year's principal)</t>
  </si>
  <si>
    <t xml:space="preserve">Draw (repayment)</t>
  </si>
  <si>
    <t xml:space="preserve">Availability (commitment less balance)</t>
  </si>
  <si>
    <t xml:space="preserve">Cash before revolver</t>
  </si>
  <si>
    <t xml:space="preserve">Ending cash</t>
  </si>
  <si>
    <t xml:space="preserve">Revolver interest</t>
  </si>
  <si>
    <t xml:space="preserve">Liquidity (cash + availability)</t>
  </si>
  <si>
    <t xml:space="preserve">Funding shortfall flag</t>
  </si>
  <si>
    <t xml:space="preserve">Total interest expense</t>
  </si>
  <si>
    <t xml:space="preserve">Bank Covenant Compliance (Projected)</t>
  </si>
  <si>
    <t xml:space="preserve">Same definitions as the Package 01 credit memo</t>
  </si>
  <si>
    <t xml:space="preserve">Debt service coverage</t>
  </si>
  <si>
    <t xml:space="preserve">+ Interest expense</t>
  </si>
  <si>
    <t xml:space="preserve">- Distributions</t>
  </si>
  <si>
    <t xml:space="preserve">Cash flow available for debt service</t>
  </si>
  <si>
    <t xml:space="preserve">Scheduled term principal</t>
  </si>
  <si>
    <t xml:space="preserve">Total debt service</t>
  </si>
  <si>
    <t xml:space="preserve">DSCR</t>
  </si>
  <si>
    <t xml:space="preserve">Minimum</t>
  </si>
  <si>
    <t xml:space="preserve">Result</t>
  </si>
  <si>
    <t xml:space="preserve">Distribution restriction</t>
  </si>
  <si>
    <t xml:space="preserve">Leverage</t>
  </si>
  <si>
    <t xml:space="preserve">Funded debt (term + revolver)</t>
  </si>
  <si>
    <t xml:space="preserve">Funded debt / EBITDA</t>
  </si>
  <si>
    <t xml:space="preserve">Maximum</t>
  </si>
  <si>
    <t xml:space="preserve">Liquidity</t>
  </si>
  <si>
    <t xml:space="preserve">Revolver availability</t>
  </si>
  <si>
    <t xml:space="preserve">Total liquidity</t>
  </si>
  <si>
    <t xml:space="preserve">Scenario Comparison</t>
  </si>
  <si>
    <t xml:space="preserve">Snapshot values captured by running each scenario through the model (switch Assumptions!B4 to reproduce). Not live formulas.</t>
  </si>
  <si>
    <t xml:space="preserve">Revolver balance</t>
  </si>
  <si>
    <t xml:space="preserve">Funded debt</t>
  </si>
  <si>
    <t xml:space="preserve">DSCR (min 1.25x)</t>
  </si>
  <si>
    <t xml:space="preserve">Funded debt / EBITDA (max 3.0x)</t>
  </si>
  <si>
    <t xml:space="preserve">DSCR covenant</t>
  </si>
  <si>
    <t xml:space="preserve">PASS</t>
  </si>
  <si>
    <t xml:space="preserve">None</t>
  </si>
  <si>
    <t xml:space="preserve">Tax distributions only</t>
  </si>
  <si>
    <t xml:space="preserve">Takeaway</t>
  </si>
  <si>
    <t xml:space="preserve">Base and upside cases pass every covenant with room to spare. The downside (revenue down 15% in FY2027 with a 150 bp margin squeeze) keeps DSCR above 1.25x only because distributions fall with net income; it trips the 1.35x distribution restriction for two years, and the revolver absorbs the cash gap.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</si>
</sst>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;\(0.0%\);\-"/>
    <numFmt numFmtId="167" formatCode="0.0"/>
    <numFmt numFmtId="168" formatCode="\$#,##0;&quot;($&quot;#,##0\);\-"/>
    <numFmt numFmtId="169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8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9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30" hidden="false" customHeight="true" outlineLevel="0" collapsed="false">
      <c r="B6" s="5" t="s">
        <v>3</v>
      </c>
      <c r="C6" s="5"/>
    </row>
    <row r="8" customFormat="false" ht="15" hidden="false" customHeight="true" outlineLevel="0" collapsed="false">
      <c r="B8" s="6" t="s">
        <v>4</v>
      </c>
      <c r="C8" s="7" t="s">
        <v>5</v>
      </c>
    </row>
    <row r="9" customFormat="false" ht="15" hidden="false" customHeight="true" outlineLevel="0" collapsed="false">
      <c r="B9" s="8" t="s">
        <v>6</v>
      </c>
      <c r="C9" s="9" t="s">
        <v>7</v>
      </c>
    </row>
    <row r="10" customFormat="false" ht="15" hidden="false" customHeight="true" outlineLevel="0" collapsed="false">
      <c r="B10" s="8" t="s">
        <v>8</v>
      </c>
      <c r="C10" s="9" t="s">
        <v>9</v>
      </c>
    </row>
    <row r="11" customFormat="false" ht="15" hidden="false" customHeight="true" outlineLevel="0" collapsed="false">
      <c r="B11" s="8" t="s">
        <v>10</v>
      </c>
      <c r="C11" s="9" t="s">
        <v>11</v>
      </c>
    </row>
    <row r="12" customFormat="false" ht="15" hidden="false" customHeight="true" outlineLevel="0" collapsed="false">
      <c r="B12" s="8" t="s">
        <v>12</v>
      </c>
      <c r="C12" s="9" t="s">
        <v>13</v>
      </c>
    </row>
    <row r="13" customFormat="false" ht="15" hidden="false" customHeight="true" outlineLevel="0" collapsed="false">
      <c r="B13" s="8" t="s">
        <v>14</v>
      </c>
      <c r="C13" s="9" t="s">
        <v>15</v>
      </c>
    </row>
    <row r="15" customFormat="false" ht="15" hidden="false" customHeight="true" outlineLevel="0" collapsed="false">
      <c r="B15" s="6" t="s">
        <v>16</v>
      </c>
      <c r="C15" s="7"/>
    </row>
    <row r="16" customFormat="false" ht="15" hidden="false" customHeight="true" outlineLevel="0" collapsed="false">
      <c r="C16" s="9" t="s">
        <v>17</v>
      </c>
    </row>
    <row r="17" customFormat="false" ht="15" hidden="false" customHeight="true" outlineLevel="0" collapsed="false">
      <c r="C17" s="9" t="s">
        <v>18</v>
      </c>
    </row>
    <row r="18" customFormat="false" ht="15" hidden="false" customHeight="true" outlineLevel="0" collapsed="false">
      <c r="C18" s="9" t="s">
        <v>19</v>
      </c>
    </row>
    <row r="20" customFormat="false" ht="15" hidden="false" customHeight="true" outlineLevel="0" collapsed="false">
      <c r="B20" s="6" t="s">
        <v>20</v>
      </c>
      <c r="C20" s="7"/>
    </row>
    <row r="21" customFormat="false" ht="15" hidden="false" customHeight="true" outlineLevel="0" collapsed="false">
      <c r="B21" s="10" t="s">
        <v>21</v>
      </c>
      <c r="C21" s="9" t="s">
        <v>22</v>
      </c>
    </row>
    <row r="22" customFormat="false" ht="15" hidden="false" customHeight="true" outlineLevel="0" collapsed="false">
      <c r="B22" s="9" t="s">
        <v>23</v>
      </c>
      <c r="C22" s="9" t="s">
        <v>24</v>
      </c>
    </row>
    <row r="23" customFormat="false" ht="15" hidden="false" customHeight="true" outlineLevel="0" collapsed="false">
      <c r="B23" s="11" t="s">
        <v>25</v>
      </c>
      <c r="C23" s="9" t="s">
        <v>26</v>
      </c>
    </row>
    <row r="24" customFormat="false" ht="15" hidden="false" customHeight="true" outlineLevel="0" collapsed="false">
      <c r="B24" s="12" t="s">
        <v>27</v>
      </c>
      <c r="C24" s="9" t="s">
        <v>28</v>
      </c>
    </row>
  </sheetData>
  <mergeCells count="1">
    <mergeCell ref="B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6" min="4" style="1" width="10"/>
    <col collapsed="false" customWidth="true" hidden="false" outlineLevel="0" max="10" min="7" style="1" width="12"/>
    <col collapsed="false" customWidth="true" hidden="false" outlineLevel="0" max="11" min="11" style="1" width="40"/>
  </cols>
  <sheetData>
    <row r="1" customFormat="false" ht="17.25" hidden="false" customHeight="true" outlineLevel="0" collapsed="false">
      <c r="A1" s="13" t="s">
        <v>29</v>
      </c>
    </row>
    <row r="2" customFormat="false" ht="15" hidden="false" customHeight="true" outlineLevel="0" collapsed="false">
      <c r="A2" s="4" t="s">
        <v>30</v>
      </c>
    </row>
    <row r="4" customFormat="false" ht="15" hidden="false" customHeight="true" outlineLevel="0" collapsed="false">
      <c r="A4" s="8" t="s">
        <v>31</v>
      </c>
      <c r="B4" s="14" t="n">
        <v>1</v>
      </c>
    </row>
    <row r="5" customFormat="false" ht="15" hidden="false" customHeight="true" outlineLevel="0" collapsed="false">
      <c r="A5" s="8" t="s">
        <v>32</v>
      </c>
      <c r="B5" s="8" t="str">
        <f aca="false">CHOOSE(B4,"Base","Upside","Downside")</f>
        <v>Base</v>
      </c>
    </row>
    <row r="7" customFormat="false" ht="15" hidden="false" customHeight="true" outlineLevel="0" collapsed="false">
      <c r="A7" s="6" t="s">
        <v>33</v>
      </c>
      <c r="B7" s="7"/>
      <c r="C7" s="7"/>
      <c r="D7" s="7"/>
      <c r="E7" s="7"/>
      <c r="F7" s="7"/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</row>
    <row r="8" customFormat="false" ht="15" hidden="false" customHeight="true" outlineLevel="0" collapsed="false">
      <c r="A8" s="15" t="s">
        <v>39</v>
      </c>
      <c r="G8" s="16" t="n">
        <f aca="false">18450000/17600000-1</f>
        <v>0.0482954545454546</v>
      </c>
      <c r="H8" s="17" t="n">
        <v>0.06</v>
      </c>
      <c r="I8" s="17" t="n">
        <v>0.05</v>
      </c>
      <c r="J8" s="17" t="n">
        <v>0.04</v>
      </c>
      <c r="K8" s="4" t="s">
        <v>40</v>
      </c>
    </row>
    <row r="9" customFormat="false" ht="15" hidden="false" customHeight="true" outlineLevel="0" collapsed="false">
      <c r="A9" s="15" t="s">
        <v>41</v>
      </c>
      <c r="G9" s="16" t="n">
        <f aca="false">18450000/17600000-1</f>
        <v>0.0482954545454546</v>
      </c>
      <c r="H9" s="17" t="n">
        <v>0.1</v>
      </c>
      <c r="I9" s="17" t="n">
        <v>0.08</v>
      </c>
      <c r="J9" s="17" t="n">
        <v>0.06</v>
      </c>
    </row>
    <row r="10" customFormat="false" ht="15" hidden="false" customHeight="true" outlineLevel="0" collapsed="false">
      <c r="A10" s="15" t="s">
        <v>42</v>
      </c>
      <c r="G10" s="16" t="n">
        <f aca="false">18450000/17600000-1</f>
        <v>0.0482954545454546</v>
      </c>
      <c r="H10" s="17" t="n">
        <v>-0.15</v>
      </c>
      <c r="I10" s="17" t="n">
        <v>-0.03</v>
      </c>
      <c r="J10" s="17" t="n">
        <v>0.04</v>
      </c>
    </row>
    <row r="11" customFormat="false" ht="15" hidden="false" customHeight="true" outlineLevel="0" collapsed="false">
      <c r="A11" s="8" t="s">
        <v>43</v>
      </c>
      <c r="G11" s="18" t="n">
        <f aca="false">CHOOSE($B$4,G8,G9,G10)</f>
        <v>0.0482954545454546</v>
      </c>
      <c r="H11" s="18" t="n">
        <f aca="false">CHOOSE($B$4,H8,H9,H10)</f>
        <v>0.06</v>
      </c>
      <c r="I11" s="18" t="n">
        <f aca="false">CHOOSE($B$4,I8,I9,I10)</f>
        <v>0.05</v>
      </c>
      <c r="J11" s="18" t="n">
        <f aca="false">CHOOSE($B$4,J8,J9,J10)</f>
        <v>0.04</v>
      </c>
    </row>
    <row r="13" customFormat="false" ht="15" hidden="false" customHeight="true" outlineLevel="0" collapsed="false">
      <c r="A13" s="6" t="s">
        <v>44</v>
      </c>
      <c r="B13" s="7"/>
      <c r="C13" s="7"/>
      <c r="D13" s="7"/>
      <c r="E13" s="7"/>
      <c r="F13" s="7"/>
      <c r="G13" s="7" t="s">
        <v>34</v>
      </c>
      <c r="H13" s="7" t="s">
        <v>35</v>
      </c>
      <c r="I13" s="7" t="s">
        <v>36</v>
      </c>
      <c r="J13" s="7" t="s">
        <v>37</v>
      </c>
      <c r="K13" s="7" t="s">
        <v>38</v>
      </c>
    </row>
    <row r="14" customFormat="false" ht="15" hidden="false" customHeight="true" outlineLevel="0" collapsed="false">
      <c r="A14" s="15" t="s">
        <v>39</v>
      </c>
      <c r="G14" s="17" t="n">
        <v>0.27</v>
      </c>
      <c r="H14" s="17" t="n">
        <v>0.285</v>
      </c>
      <c r="I14" s="17" t="n">
        <v>0.287</v>
      </c>
      <c r="J14" s="17" t="n">
        <v>0.288</v>
      </c>
      <c r="K14" s="4" t="s">
        <v>45</v>
      </c>
    </row>
    <row r="15" customFormat="false" ht="15" hidden="false" customHeight="true" outlineLevel="0" collapsed="false">
      <c r="A15" s="15" t="s">
        <v>41</v>
      </c>
      <c r="G15" s="17" t="n">
        <v>0.27</v>
      </c>
      <c r="H15" s="17" t="n">
        <v>0.289</v>
      </c>
      <c r="I15" s="17" t="n">
        <v>0.292</v>
      </c>
      <c r="J15" s="17" t="n">
        <v>0.293</v>
      </c>
    </row>
    <row r="16" customFormat="false" ht="15" hidden="false" customHeight="true" outlineLevel="0" collapsed="false">
      <c r="A16" s="15" t="s">
        <v>42</v>
      </c>
      <c r="G16" s="17" t="n">
        <v>0.27</v>
      </c>
      <c r="H16" s="17" t="n">
        <v>0.255</v>
      </c>
      <c r="I16" s="17" t="n">
        <v>0.26</v>
      </c>
      <c r="J16" s="17" t="n">
        <v>0.268</v>
      </c>
    </row>
    <row r="17" customFormat="false" ht="15" hidden="false" customHeight="true" outlineLevel="0" collapsed="false">
      <c r="A17" s="8" t="s">
        <v>43</v>
      </c>
      <c r="G17" s="18" t="n">
        <f aca="false">CHOOSE($B$4,G14,G15,G16)</f>
        <v>0.27</v>
      </c>
      <c r="H17" s="18" t="n">
        <f aca="false">CHOOSE($B$4,H14,H15,H16)</f>
        <v>0.285</v>
      </c>
      <c r="I17" s="18" t="n">
        <f aca="false">CHOOSE($B$4,I14,I15,I16)</f>
        <v>0.287</v>
      </c>
      <c r="J17" s="18" t="n">
        <f aca="false">CHOOSE($B$4,J14,J15,J16)</f>
        <v>0.288</v>
      </c>
    </row>
    <row r="19" customFormat="false" ht="15" hidden="false" customHeight="true" outlineLevel="0" collapsed="false">
      <c r="A19" s="6" t="s">
        <v>46</v>
      </c>
      <c r="B19" s="7"/>
      <c r="C19" s="7"/>
      <c r="D19" s="7"/>
      <c r="E19" s="7"/>
      <c r="F19" s="7"/>
      <c r="G19" s="7" t="s">
        <v>34</v>
      </c>
      <c r="H19" s="7" t="s">
        <v>35</v>
      </c>
      <c r="I19" s="7" t="s">
        <v>36</v>
      </c>
      <c r="J19" s="7" t="s">
        <v>37</v>
      </c>
      <c r="K19" s="7" t="s">
        <v>38</v>
      </c>
    </row>
    <row r="20" customFormat="false" ht="15" hidden="false" customHeight="true" outlineLevel="0" collapsed="false">
      <c r="A20" s="15" t="s">
        <v>39</v>
      </c>
      <c r="G20" s="16" t="n">
        <f aca="false">2120000/18450000</f>
        <v>0.114905149051491</v>
      </c>
      <c r="H20" s="17" t="n">
        <v>0.113</v>
      </c>
      <c r="I20" s="17" t="n">
        <v>0.112</v>
      </c>
      <c r="J20" s="17" t="n">
        <v>0.111</v>
      </c>
      <c r="K20" s="4" t="s">
        <v>47</v>
      </c>
    </row>
    <row r="21" customFormat="false" ht="15" hidden="false" customHeight="true" outlineLevel="0" collapsed="false">
      <c r="A21" s="15" t="s">
        <v>41</v>
      </c>
      <c r="G21" s="16" t="n">
        <f aca="false">2120000/18450000</f>
        <v>0.114905149051491</v>
      </c>
      <c r="H21" s="17" t="n">
        <v>0.11</v>
      </c>
      <c r="I21" s="17" t="n">
        <v>0.108</v>
      </c>
      <c r="J21" s="17" t="n">
        <v>0.107</v>
      </c>
    </row>
    <row r="22" customFormat="false" ht="15" hidden="false" customHeight="true" outlineLevel="0" collapsed="false">
      <c r="A22" s="15" t="s">
        <v>42</v>
      </c>
      <c r="G22" s="16" t="n">
        <f aca="false">2120000/18450000</f>
        <v>0.114905149051491</v>
      </c>
      <c r="H22" s="17" t="n">
        <v>0.123</v>
      </c>
      <c r="I22" s="17" t="n">
        <v>0.12</v>
      </c>
      <c r="J22" s="17" t="n">
        <v>0.118</v>
      </c>
    </row>
    <row r="23" customFormat="false" ht="15" hidden="false" customHeight="true" outlineLevel="0" collapsed="false">
      <c r="A23" s="8" t="s">
        <v>43</v>
      </c>
      <c r="G23" s="18" t="n">
        <f aca="false">CHOOSE($B$4,G20,G21,G22)</f>
        <v>0.114905149051491</v>
      </c>
      <c r="H23" s="18" t="n">
        <f aca="false">CHOOSE($B$4,H20,H21,H22)</f>
        <v>0.113</v>
      </c>
      <c r="I23" s="18" t="n">
        <f aca="false">CHOOSE($B$4,I20,I21,I22)</f>
        <v>0.112</v>
      </c>
      <c r="J23" s="18" t="n">
        <f aca="false">CHOOSE($B$4,J20,J21,J22)</f>
        <v>0.111</v>
      </c>
    </row>
    <row r="25" customFormat="false" ht="15" hidden="false" customHeight="true" outlineLevel="0" collapsed="false">
      <c r="A25" s="6" t="s">
        <v>48</v>
      </c>
      <c r="B25" s="7"/>
      <c r="C25" s="7"/>
      <c r="D25" s="7"/>
      <c r="E25" s="7"/>
      <c r="F25" s="7"/>
      <c r="G25" s="7" t="s">
        <v>34</v>
      </c>
      <c r="H25" s="7" t="s">
        <v>35</v>
      </c>
      <c r="I25" s="7" t="s">
        <v>36</v>
      </c>
      <c r="J25" s="7" t="s">
        <v>37</v>
      </c>
      <c r="K25" s="7" t="s">
        <v>38</v>
      </c>
    </row>
    <row r="26" customFormat="false" ht="15" hidden="false" customHeight="true" outlineLevel="0" collapsed="false">
      <c r="A26" s="15" t="s">
        <v>39</v>
      </c>
      <c r="G26" s="17" t="n">
        <v>0</v>
      </c>
      <c r="H26" s="17" t="n">
        <v>0.03</v>
      </c>
      <c r="I26" s="17" t="n">
        <v>0.03</v>
      </c>
      <c r="J26" s="17" t="n">
        <v>0.03</v>
      </c>
      <c r="K26" s="4" t="s">
        <v>49</v>
      </c>
    </row>
    <row r="27" customFormat="false" ht="15" hidden="false" customHeight="true" outlineLevel="0" collapsed="false">
      <c r="A27" s="15" t="s">
        <v>41</v>
      </c>
      <c r="G27" s="17" t="n">
        <v>0</v>
      </c>
      <c r="H27" s="17" t="n">
        <v>0.03</v>
      </c>
      <c r="I27" s="17" t="n">
        <v>0.03</v>
      </c>
      <c r="J27" s="17" t="n">
        <v>0.03</v>
      </c>
    </row>
    <row r="28" customFormat="false" ht="15" hidden="false" customHeight="true" outlineLevel="0" collapsed="false">
      <c r="A28" s="15" t="s">
        <v>42</v>
      </c>
      <c r="G28" s="17" t="n">
        <v>0</v>
      </c>
      <c r="H28" s="17" t="n">
        <v>0</v>
      </c>
      <c r="I28" s="17" t="n">
        <v>0</v>
      </c>
      <c r="J28" s="17" t="n">
        <v>0.03</v>
      </c>
    </row>
    <row r="29" customFormat="false" ht="15" hidden="false" customHeight="true" outlineLevel="0" collapsed="false">
      <c r="A29" s="8" t="s">
        <v>43</v>
      </c>
      <c r="G29" s="18" t="n">
        <f aca="false">CHOOSE($B$4,G26,G27,G28)</f>
        <v>0</v>
      </c>
      <c r="H29" s="18" t="n">
        <f aca="false">CHOOSE($B$4,H26,H27,H28)</f>
        <v>0.03</v>
      </c>
      <c r="I29" s="18" t="n">
        <f aca="false">CHOOSE($B$4,I26,I27,I28)</f>
        <v>0.03</v>
      </c>
      <c r="J29" s="18" t="n">
        <f aca="false">CHOOSE($B$4,J26,J27,J28)</f>
        <v>0.03</v>
      </c>
    </row>
    <row r="31" customFormat="false" ht="15" hidden="false" customHeight="true" outlineLevel="0" collapsed="false">
      <c r="A31" s="6" t="s">
        <v>50</v>
      </c>
      <c r="B31" s="7"/>
      <c r="C31" s="7"/>
      <c r="D31" s="7"/>
      <c r="E31" s="7"/>
      <c r="F31" s="7"/>
      <c r="G31" s="7" t="s">
        <v>34</v>
      </c>
      <c r="H31" s="7" t="s">
        <v>35</v>
      </c>
      <c r="I31" s="7" t="s">
        <v>36</v>
      </c>
      <c r="J31" s="7" t="s">
        <v>37</v>
      </c>
      <c r="K31" s="7" t="s">
        <v>38</v>
      </c>
    </row>
    <row r="32" customFormat="false" ht="15" hidden="false" customHeight="true" outlineLevel="0" collapsed="false">
      <c r="A32" s="15" t="s">
        <v>39</v>
      </c>
      <c r="G32" s="19" t="n">
        <v>48</v>
      </c>
      <c r="H32" s="19" t="n">
        <v>47</v>
      </c>
      <c r="I32" s="19" t="n">
        <v>47</v>
      </c>
      <c r="J32" s="19" t="n">
        <v>47</v>
      </c>
      <c r="K32" s="4" t="s">
        <v>51</v>
      </c>
    </row>
    <row r="33" customFormat="false" ht="15" hidden="false" customHeight="true" outlineLevel="0" collapsed="false">
      <c r="A33" s="15" t="s">
        <v>41</v>
      </c>
      <c r="G33" s="19" t="n">
        <v>48</v>
      </c>
      <c r="H33" s="19" t="n">
        <v>46</v>
      </c>
      <c r="I33" s="19" t="n">
        <v>45</v>
      </c>
      <c r="J33" s="19" t="n">
        <v>45</v>
      </c>
    </row>
    <row r="34" customFormat="false" ht="15" hidden="false" customHeight="true" outlineLevel="0" collapsed="false">
      <c r="A34" s="15" t="s">
        <v>42</v>
      </c>
      <c r="G34" s="19" t="n">
        <v>48</v>
      </c>
      <c r="H34" s="19" t="n">
        <v>54</v>
      </c>
      <c r="I34" s="19" t="n">
        <v>52</v>
      </c>
      <c r="J34" s="19" t="n">
        <v>50</v>
      </c>
    </row>
    <row r="35" customFormat="false" ht="15" hidden="false" customHeight="true" outlineLevel="0" collapsed="false">
      <c r="A35" s="8" t="s">
        <v>43</v>
      </c>
      <c r="G35" s="20" t="n">
        <f aca="false">CHOOSE($B$4,G32,G33,G34)</f>
        <v>48</v>
      </c>
      <c r="H35" s="20" t="n">
        <f aca="false">CHOOSE($B$4,H32,H33,H34)</f>
        <v>47</v>
      </c>
      <c r="I35" s="20" t="n">
        <f aca="false">CHOOSE($B$4,I32,I33,I34)</f>
        <v>47</v>
      </c>
      <c r="J35" s="20" t="n">
        <f aca="false">CHOOSE($B$4,J32,J33,J34)</f>
        <v>47</v>
      </c>
    </row>
    <row r="37" customFormat="false" ht="15" hidden="false" customHeight="true" outlineLevel="0" collapsed="false">
      <c r="A37" s="6" t="s">
        <v>52</v>
      </c>
      <c r="B37" s="7"/>
      <c r="C37" s="7"/>
      <c r="D37" s="7"/>
      <c r="E37" s="7"/>
      <c r="F37" s="7"/>
      <c r="G37" s="7" t="s">
        <v>34</v>
      </c>
      <c r="H37" s="7" t="s">
        <v>35</v>
      </c>
      <c r="I37" s="7" t="s">
        <v>36</v>
      </c>
      <c r="J37" s="7" t="s">
        <v>37</v>
      </c>
      <c r="K37" s="7" t="s">
        <v>38</v>
      </c>
    </row>
    <row r="38" customFormat="false" ht="15" hidden="false" customHeight="true" outlineLevel="0" collapsed="false">
      <c r="A38" s="15" t="s">
        <v>39</v>
      </c>
      <c r="G38" s="19" t="n">
        <v>48</v>
      </c>
      <c r="H38" s="19" t="n">
        <v>47</v>
      </c>
      <c r="I38" s="19" t="n">
        <v>47</v>
      </c>
      <c r="J38" s="19" t="n">
        <v>47</v>
      </c>
      <c r="K38" s="4" t="s">
        <v>53</v>
      </c>
    </row>
    <row r="39" customFormat="false" ht="15" hidden="false" customHeight="true" outlineLevel="0" collapsed="false">
      <c r="A39" s="15" t="s">
        <v>41</v>
      </c>
      <c r="G39" s="19" t="n">
        <v>48</v>
      </c>
      <c r="H39" s="19" t="n">
        <v>46</v>
      </c>
      <c r="I39" s="19" t="n">
        <v>46</v>
      </c>
      <c r="J39" s="19" t="n">
        <v>46</v>
      </c>
    </row>
    <row r="40" customFormat="false" ht="15" hidden="false" customHeight="true" outlineLevel="0" collapsed="false">
      <c r="A40" s="15" t="s">
        <v>42</v>
      </c>
      <c r="G40" s="19" t="n">
        <v>48</v>
      </c>
      <c r="H40" s="19" t="n">
        <v>52</v>
      </c>
      <c r="I40" s="19" t="n">
        <v>50</v>
      </c>
      <c r="J40" s="19" t="n">
        <v>49</v>
      </c>
    </row>
    <row r="41" customFormat="false" ht="15" hidden="false" customHeight="true" outlineLevel="0" collapsed="false">
      <c r="A41" s="8" t="s">
        <v>43</v>
      </c>
      <c r="G41" s="20" t="n">
        <f aca="false">CHOOSE($B$4,G38,G39,G40)</f>
        <v>48</v>
      </c>
      <c r="H41" s="20" t="n">
        <f aca="false">CHOOSE($B$4,H38,H39,H40)</f>
        <v>47</v>
      </c>
      <c r="I41" s="20" t="n">
        <f aca="false">CHOOSE($B$4,I38,I39,I40)</f>
        <v>47</v>
      </c>
      <c r="J41" s="20" t="n">
        <f aca="false">CHOOSE($B$4,J38,J39,J40)</f>
        <v>47</v>
      </c>
    </row>
    <row r="43" customFormat="false" ht="15" hidden="false" customHeight="true" outlineLevel="0" collapsed="false">
      <c r="A43" s="6" t="s">
        <v>54</v>
      </c>
      <c r="B43" s="7"/>
      <c r="C43" s="7"/>
      <c r="D43" s="7"/>
      <c r="E43" s="7"/>
      <c r="F43" s="7"/>
      <c r="G43" s="7" t="s">
        <v>34</v>
      </c>
      <c r="H43" s="7" t="s">
        <v>35</v>
      </c>
      <c r="I43" s="7" t="s">
        <v>36</v>
      </c>
      <c r="J43" s="7" t="s">
        <v>37</v>
      </c>
      <c r="K43" s="7" t="s">
        <v>38</v>
      </c>
    </row>
    <row r="44" customFormat="false" ht="15" hidden="false" customHeight="true" outlineLevel="0" collapsed="false">
      <c r="A44" s="15" t="s">
        <v>39</v>
      </c>
      <c r="G44" s="19" t="n">
        <v>34</v>
      </c>
      <c r="H44" s="19" t="n">
        <v>34</v>
      </c>
      <c r="I44" s="19" t="n">
        <v>34</v>
      </c>
      <c r="J44" s="19" t="n">
        <v>34</v>
      </c>
      <c r="K44" s="4" t="s">
        <v>53</v>
      </c>
    </row>
    <row r="45" customFormat="false" ht="15" hidden="false" customHeight="true" outlineLevel="0" collapsed="false">
      <c r="A45" s="15" t="s">
        <v>41</v>
      </c>
      <c r="G45" s="19" t="n">
        <v>34</v>
      </c>
      <c r="H45" s="19" t="n">
        <v>34</v>
      </c>
      <c r="I45" s="19" t="n">
        <v>34</v>
      </c>
      <c r="J45" s="19" t="n">
        <v>34</v>
      </c>
    </row>
    <row r="46" customFormat="false" ht="15" hidden="false" customHeight="true" outlineLevel="0" collapsed="false">
      <c r="A46" s="15" t="s">
        <v>42</v>
      </c>
      <c r="G46" s="19" t="n">
        <v>34</v>
      </c>
      <c r="H46" s="19" t="n">
        <v>32</v>
      </c>
      <c r="I46" s="19" t="n">
        <v>33</v>
      </c>
      <c r="J46" s="19" t="n">
        <v>33</v>
      </c>
    </row>
    <row r="47" customFormat="false" ht="15" hidden="false" customHeight="true" outlineLevel="0" collapsed="false">
      <c r="A47" s="8" t="s">
        <v>43</v>
      </c>
      <c r="G47" s="20" t="n">
        <f aca="false">CHOOSE($B$4,G44,G45,G46)</f>
        <v>34</v>
      </c>
      <c r="H47" s="20" t="n">
        <f aca="false">CHOOSE($B$4,H44,H45,H46)</f>
        <v>34</v>
      </c>
      <c r="I47" s="20" t="n">
        <f aca="false">CHOOSE($B$4,I44,I45,I46)</f>
        <v>34</v>
      </c>
      <c r="J47" s="20" t="n">
        <f aca="false">CHOOSE($B$4,J44,J45,J46)</f>
        <v>34</v>
      </c>
    </row>
    <row r="49" customFormat="false" ht="15" hidden="false" customHeight="true" outlineLevel="0" collapsed="false">
      <c r="A49" s="6" t="s">
        <v>55</v>
      </c>
      <c r="B49" s="7"/>
      <c r="C49" s="7"/>
      <c r="D49" s="7"/>
      <c r="E49" s="7"/>
      <c r="F49" s="7"/>
      <c r="G49" s="7" t="s">
        <v>34</v>
      </c>
      <c r="H49" s="7" t="s">
        <v>35</v>
      </c>
      <c r="I49" s="7" t="s">
        <v>36</v>
      </c>
      <c r="J49" s="7" t="s">
        <v>37</v>
      </c>
      <c r="K49" s="7" t="s">
        <v>38</v>
      </c>
    </row>
    <row r="50" customFormat="false" ht="15" hidden="false" customHeight="true" outlineLevel="0" collapsed="false">
      <c r="A50" s="15" t="s">
        <v>39</v>
      </c>
      <c r="G50" s="17" t="n">
        <v>0.035</v>
      </c>
      <c r="H50" s="17" t="n">
        <v>0.033</v>
      </c>
      <c r="I50" s="17" t="n">
        <v>0.035</v>
      </c>
      <c r="J50" s="17" t="n">
        <v>0.035</v>
      </c>
      <c r="K50" s="4" t="s">
        <v>56</v>
      </c>
    </row>
    <row r="51" customFormat="false" ht="15" hidden="false" customHeight="true" outlineLevel="0" collapsed="false">
      <c r="A51" s="15" t="s">
        <v>41</v>
      </c>
      <c r="G51" s="17" t="n">
        <v>0.035</v>
      </c>
      <c r="H51" s="17" t="n">
        <v>0.035</v>
      </c>
      <c r="I51" s="17" t="n">
        <v>0.036</v>
      </c>
      <c r="J51" s="17" t="n">
        <v>0.036</v>
      </c>
    </row>
    <row r="52" customFormat="false" ht="15" hidden="false" customHeight="true" outlineLevel="0" collapsed="false">
      <c r="A52" s="15" t="s">
        <v>42</v>
      </c>
      <c r="G52" s="17" t="n">
        <v>0.035</v>
      </c>
      <c r="H52" s="17" t="n">
        <v>0.022</v>
      </c>
      <c r="I52" s="17" t="n">
        <v>0.025</v>
      </c>
      <c r="J52" s="17" t="n">
        <v>0.03</v>
      </c>
    </row>
    <row r="53" customFormat="false" ht="15" hidden="false" customHeight="true" outlineLevel="0" collapsed="false">
      <c r="A53" s="8" t="s">
        <v>43</v>
      </c>
      <c r="G53" s="18" t="n">
        <f aca="false">CHOOSE($B$4,G50,G51,G52)</f>
        <v>0.035</v>
      </c>
      <c r="H53" s="18" t="n">
        <f aca="false">CHOOSE($B$4,H50,H51,H52)</f>
        <v>0.033</v>
      </c>
      <c r="I53" s="18" t="n">
        <f aca="false">CHOOSE($B$4,I50,I51,I52)</f>
        <v>0.035</v>
      </c>
      <c r="J53" s="18" t="n">
        <f aca="false">CHOOSE($B$4,J50,J51,J52)</f>
        <v>0.035</v>
      </c>
    </row>
    <row r="55" customFormat="false" ht="15" hidden="false" customHeight="true" outlineLevel="0" collapsed="false">
      <c r="A55" s="6" t="s">
        <v>57</v>
      </c>
      <c r="B55" s="7"/>
      <c r="C55" s="7"/>
      <c r="D55" s="7"/>
      <c r="E55" s="7"/>
      <c r="F55" s="7"/>
      <c r="G55" s="7" t="s">
        <v>34</v>
      </c>
      <c r="H55" s="7" t="s">
        <v>35</v>
      </c>
      <c r="I55" s="7" t="s">
        <v>36</v>
      </c>
      <c r="J55" s="7" t="s">
        <v>37</v>
      </c>
      <c r="K55" s="7" t="s">
        <v>38</v>
      </c>
    </row>
    <row r="56" customFormat="false" ht="15" hidden="false" customHeight="true" outlineLevel="0" collapsed="false">
      <c r="A56" s="15" t="s">
        <v>39</v>
      </c>
      <c r="G56" s="17" t="n">
        <v>0.45</v>
      </c>
      <c r="H56" s="17" t="n">
        <v>0.45</v>
      </c>
      <c r="I56" s="17" t="n">
        <v>0.45</v>
      </c>
      <c r="J56" s="17" t="n">
        <v>0.45</v>
      </c>
      <c r="K56" s="4" t="s">
        <v>58</v>
      </c>
    </row>
    <row r="57" customFormat="false" ht="15" hidden="false" customHeight="true" outlineLevel="0" collapsed="false">
      <c r="A57" s="15" t="s">
        <v>41</v>
      </c>
      <c r="G57" s="17" t="n">
        <v>0.45</v>
      </c>
      <c r="H57" s="17" t="n">
        <v>0.45</v>
      </c>
      <c r="I57" s="17" t="n">
        <v>0.45</v>
      </c>
      <c r="J57" s="17" t="n">
        <v>0.45</v>
      </c>
    </row>
    <row r="58" customFormat="false" ht="15" hidden="false" customHeight="true" outlineLevel="0" collapsed="false">
      <c r="A58" s="15" t="s">
        <v>42</v>
      </c>
      <c r="G58" s="17" t="n">
        <v>0.45</v>
      </c>
      <c r="H58" s="17" t="n">
        <v>0.4</v>
      </c>
      <c r="I58" s="17" t="n">
        <v>0.4</v>
      </c>
      <c r="J58" s="17" t="n">
        <v>0.4</v>
      </c>
    </row>
    <row r="59" customFormat="false" ht="15" hidden="false" customHeight="true" outlineLevel="0" collapsed="false">
      <c r="A59" s="8" t="s">
        <v>43</v>
      </c>
      <c r="G59" s="18" t="n">
        <f aca="false">CHOOSE($B$4,G56,G57,G58)</f>
        <v>0.45</v>
      </c>
      <c r="H59" s="18" t="n">
        <f aca="false">CHOOSE($B$4,H56,H57,H58)</f>
        <v>0.45</v>
      </c>
      <c r="I59" s="18" t="n">
        <f aca="false">CHOOSE($B$4,I56,I57,I58)</f>
        <v>0.45</v>
      </c>
      <c r="J59" s="18" t="n">
        <f aca="false">CHOOSE($B$4,J56,J57,J58)</f>
        <v>0.45</v>
      </c>
    </row>
    <row r="61" customFormat="false" ht="15" hidden="false" customHeight="true" outlineLevel="0" collapsed="false">
      <c r="A61" s="6" t="s">
        <v>59</v>
      </c>
      <c r="B61" s="7" t="s">
        <v>60</v>
      </c>
      <c r="C61" s="7"/>
      <c r="D61" s="7"/>
      <c r="E61" s="7"/>
      <c r="F61" s="7"/>
      <c r="G61" s="7"/>
      <c r="H61" s="7"/>
      <c r="I61" s="7"/>
      <c r="J61" s="7"/>
      <c r="K61" s="7" t="s">
        <v>38</v>
      </c>
    </row>
    <row r="62" customFormat="false" ht="15" hidden="false" customHeight="true" outlineLevel="0" collapsed="false">
      <c r="A62" s="15" t="s">
        <v>61</v>
      </c>
      <c r="B62" s="17" t="n">
        <v>0.00625</v>
      </c>
      <c r="K62" s="4" t="s">
        <v>62</v>
      </c>
    </row>
    <row r="63" customFormat="false" ht="15" hidden="false" customHeight="true" outlineLevel="0" collapsed="false">
      <c r="A63" s="15" t="s">
        <v>63</v>
      </c>
      <c r="B63" s="17" t="n">
        <v>0.032</v>
      </c>
      <c r="K63" s="4" t="s">
        <v>62</v>
      </c>
    </row>
    <row r="64" customFormat="false" ht="15" hidden="false" customHeight="true" outlineLevel="0" collapsed="false">
      <c r="A64" s="15" t="s">
        <v>64</v>
      </c>
      <c r="B64" s="17" t="n">
        <v>0.0787</v>
      </c>
      <c r="K64" s="4" t="s">
        <v>65</v>
      </c>
    </row>
    <row r="65" customFormat="false" ht="15" hidden="false" customHeight="true" outlineLevel="0" collapsed="false">
      <c r="A65" s="15" t="s">
        <v>66</v>
      </c>
      <c r="B65" s="21" t="n">
        <v>3500000</v>
      </c>
      <c r="K65" s="4" t="s">
        <v>67</v>
      </c>
    </row>
    <row r="66" customFormat="false" ht="15" hidden="false" customHeight="true" outlineLevel="0" collapsed="false">
      <c r="A66" s="15" t="s">
        <v>68</v>
      </c>
      <c r="B66" s="22" t="n">
        <v>7</v>
      </c>
      <c r="K66" s="4"/>
    </row>
    <row r="67" customFormat="false" ht="15" hidden="false" customHeight="true" outlineLevel="0" collapsed="false">
      <c r="A67" s="15" t="s">
        <v>69</v>
      </c>
      <c r="B67" s="21" t="n">
        <v>300000</v>
      </c>
      <c r="K67" s="4" t="s">
        <v>70</v>
      </c>
    </row>
    <row r="68" customFormat="false" ht="15" hidden="false" customHeight="true" outlineLevel="0" collapsed="false">
      <c r="A68" s="15" t="s">
        <v>71</v>
      </c>
      <c r="B68" s="21" t="n">
        <v>2800000</v>
      </c>
      <c r="K68" s="4" t="s">
        <v>72</v>
      </c>
    </row>
    <row r="69" customFormat="false" ht="15" hidden="false" customHeight="true" outlineLevel="0" collapsed="false">
      <c r="A69" s="15" t="s">
        <v>73</v>
      </c>
      <c r="B69" s="17" t="n">
        <v>0.0725</v>
      </c>
      <c r="K69" s="4"/>
    </row>
    <row r="70" customFormat="false" ht="15" hidden="false" customHeight="true" outlineLevel="0" collapsed="false">
      <c r="A70" s="15" t="s">
        <v>74</v>
      </c>
      <c r="B70" s="22" t="n">
        <v>84</v>
      </c>
      <c r="K70" s="4"/>
    </row>
    <row r="71" customFormat="false" ht="15" hidden="false" customHeight="true" outlineLevel="0" collapsed="false">
      <c r="A71" s="15" t="s">
        <v>75</v>
      </c>
      <c r="B71" s="21" t="n">
        <v>400000</v>
      </c>
      <c r="K71" s="4" t="s">
        <v>76</v>
      </c>
    </row>
    <row r="72" customFormat="false" ht="15" hidden="false" customHeight="true" outlineLevel="0" collapsed="false">
      <c r="A72" s="15" t="s">
        <v>77</v>
      </c>
      <c r="B72" s="17" t="n">
        <v>0.064</v>
      </c>
      <c r="K72" s="4"/>
    </row>
    <row r="73" customFormat="false" ht="15" hidden="false" customHeight="true" outlineLevel="0" collapsed="false">
      <c r="A73" s="15" t="s">
        <v>78</v>
      </c>
      <c r="B73" s="17" t="n">
        <v>0.0675</v>
      </c>
      <c r="K73" s="4" t="s">
        <v>79</v>
      </c>
    </row>
    <row r="74" customFormat="false" ht="15" hidden="false" customHeight="true" outlineLevel="0" collapsed="false">
      <c r="A74" s="15" t="s">
        <v>80</v>
      </c>
      <c r="B74" s="21" t="n">
        <v>1500000</v>
      </c>
      <c r="K74" s="4" t="s">
        <v>81</v>
      </c>
    </row>
    <row r="75" customFormat="false" ht="15" hidden="false" customHeight="true" outlineLevel="0" collapsed="false">
      <c r="A75" s="15" t="s">
        <v>82</v>
      </c>
      <c r="B75" s="21" t="n">
        <v>500000</v>
      </c>
      <c r="K75" s="4" t="s">
        <v>83</v>
      </c>
    </row>
    <row r="76" customFormat="false" ht="15" hidden="false" customHeight="true" outlineLevel="0" collapsed="false">
      <c r="A76" s="15" t="s">
        <v>84</v>
      </c>
      <c r="B76" s="23" t="n">
        <v>1.25</v>
      </c>
      <c r="K76" s="4"/>
    </row>
    <row r="77" customFormat="false" ht="15" hidden="false" customHeight="true" outlineLevel="0" collapsed="false">
      <c r="A77" s="15" t="s">
        <v>85</v>
      </c>
      <c r="B77" s="23" t="n">
        <v>3</v>
      </c>
      <c r="K77" s="4"/>
    </row>
    <row r="78" customFormat="false" ht="15" hidden="false" customHeight="true" outlineLevel="0" collapsed="false">
      <c r="A78" s="15" t="s">
        <v>86</v>
      </c>
      <c r="B78" s="23" t="n">
        <v>1.35</v>
      </c>
      <c r="K78" s="4" t="s">
        <v>87</v>
      </c>
    </row>
    <row r="80" customFormat="false" ht="15" hidden="false" customHeight="true" outlineLevel="0" collapsed="false">
      <c r="A80" s="6" t="s">
        <v>88</v>
      </c>
      <c r="B80" s="7"/>
      <c r="C80" s="7"/>
      <c r="D80" s="7"/>
      <c r="E80" s="7"/>
      <c r="F80" s="7"/>
      <c r="G80" s="7" t="s">
        <v>34</v>
      </c>
      <c r="H80" s="7" t="s">
        <v>35</v>
      </c>
      <c r="I80" s="7" t="s">
        <v>36</v>
      </c>
      <c r="J80" s="7" t="s">
        <v>37</v>
      </c>
      <c r="K80" s="7"/>
    </row>
    <row r="81" customFormat="false" ht="15" hidden="false" customHeight="true" outlineLevel="0" collapsed="false">
      <c r="A81" s="15" t="s">
        <v>89</v>
      </c>
      <c r="G81" s="21" t="n">
        <v>560000</v>
      </c>
      <c r="H81" s="21" t="n">
        <v>585000</v>
      </c>
      <c r="I81" s="21" t="n">
        <v>610000</v>
      </c>
      <c r="J81" s="21" t="n">
        <v>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3"/>
    <col collapsed="false" customWidth="true" hidden="false" outlineLevel="0" max="10" min="4" style="1" width="14"/>
  </cols>
  <sheetData>
    <row r="1" customFormat="false" ht="17.25" hidden="false" customHeight="true" outlineLevel="0" collapsed="false">
      <c r="A1" s="13" t="s">
        <v>90</v>
      </c>
    </row>
    <row r="2" customFormat="false" ht="15" hidden="false" customHeight="true" outlineLevel="0" collapsed="false">
      <c r="A2" s="4" t="s">
        <v>91</v>
      </c>
      <c r="E2" s="8" t="str">
        <f aca="false">"Scenario: "&amp;Assumptions!B5</f>
        <v>Scenario: Base</v>
      </c>
    </row>
    <row r="4" customFormat="false" ht="15" hidden="false" customHeight="true" outlineLevel="0" collapsed="false">
      <c r="A4" s="6" t="s">
        <v>92</v>
      </c>
      <c r="B4" s="7"/>
      <c r="C4" s="7"/>
      <c r="D4" s="7" t="s">
        <v>93</v>
      </c>
      <c r="E4" s="7" t="s">
        <v>94</v>
      </c>
      <c r="F4" s="7" t="s">
        <v>95</v>
      </c>
      <c r="G4" s="7" t="s">
        <v>34</v>
      </c>
      <c r="H4" s="7" t="s">
        <v>35</v>
      </c>
      <c r="I4" s="7" t="s">
        <v>36</v>
      </c>
      <c r="J4" s="7" t="s">
        <v>37</v>
      </c>
    </row>
    <row r="5" customFormat="false" ht="15" hidden="false" customHeight="true" outlineLevel="0" collapsed="false">
      <c r="A5" s="15" t="s">
        <v>96</v>
      </c>
      <c r="D5" s="21" t="n">
        <v>14200000</v>
      </c>
      <c r="E5" s="21" t="n">
        <v>15900000</v>
      </c>
      <c r="F5" s="21" t="n">
        <v>17600000</v>
      </c>
      <c r="G5" s="24" t="n">
        <f aca="false">F5*(1+Assumptions!G11)</f>
        <v>18450000</v>
      </c>
      <c r="H5" s="24" t="n">
        <f aca="false">G5*(1+Assumptions!H11)</f>
        <v>19557000</v>
      </c>
      <c r="I5" s="24" t="n">
        <f aca="false">H5*(1+Assumptions!I11)</f>
        <v>20534850</v>
      </c>
      <c r="J5" s="24" t="n">
        <f aca="false">I5*(1+Assumptions!J11)</f>
        <v>21356244</v>
      </c>
    </row>
    <row r="6" customFormat="false" ht="15" hidden="false" customHeight="true" outlineLevel="0" collapsed="false">
      <c r="A6" s="15" t="s">
        <v>97</v>
      </c>
      <c r="D6" s="21" t="n">
        <v>10508000</v>
      </c>
      <c r="E6" s="21" t="n">
        <v>11686500</v>
      </c>
      <c r="F6" s="21" t="n">
        <v>12812800</v>
      </c>
      <c r="G6" s="24" t="n">
        <f aca="false">G5*(1-Assumptions!G17)</f>
        <v>13468500</v>
      </c>
      <c r="H6" s="24" t="n">
        <f aca="false">H5*(1-Assumptions!H17)</f>
        <v>13983255</v>
      </c>
      <c r="I6" s="24" t="n">
        <f aca="false">I5*(1-Assumptions!I17)</f>
        <v>14641348.05</v>
      </c>
      <c r="J6" s="24" t="n">
        <f aca="false">J5*(1-Assumptions!J17)</f>
        <v>15205645.728</v>
      </c>
    </row>
    <row r="7" customFormat="false" ht="15" hidden="false" customHeight="true" outlineLevel="0" collapsed="false">
      <c r="A7" s="8" t="s">
        <v>98</v>
      </c>
      <c r="D7" s="25" t="n">
        <f aca="false">D5-D6</f>
        <v>3692000</v>
      </c>
      <c r="E7" s="25" t="n">
        <f aca="false">E5-E6</f>
        <v>4213500</v>
      </c>
      <c r="F7" s="25" t="n">
        <f aca="false">F5-F6</f>
        <v>4787200</v>
      </c>
      <c r="G7" s="25" t="n">
        <f aca="false">G5-G6</f>
        <v>4981500</v>
      </c>
      <c r="H7" s="25" t="n">
        <f aca="false">H5-H6</f>
        <v>5573745</v>
      </c>
      <c r="I7" s="25" t="n">
        <f aca="false">I5-I6</f>
        <v>5893501.95</v>
      </c>
      <c r="J7" s="25" t="n">
        <f aca="false">J5-J6</f>
        <v>6150598.272</v>
      </c>
    </row>
    <row r="8" customFormat="false" ht="15" hidden="false" customHeight="true" outlineLevel="0" collapsed="false">
      <c r="A8" s="15" t="s">
        <v>99</v>
      </c>
      <c r="D8" s="21" t="n">
        <v>420000</v>
      </c>
      <c r="E8" s="21" t="n">
        <v>440000</v>
      </c>
      <c r="F8" s="21" t="n">
        <v>460000</v>
      </c>
      <c r="G8" s="24" t="n">
        <f aca="false">F8*(1+Assumptions!G29)</f>
        <v>460000</v>
      </c>
      <c r="H8" s="24" t="n">
        <f aca="false">G8*(1+Assumptions!H29)</f>
        <v>473800</v>
      </c>
      <c r="I8" s="24" t="n">
        <f aca="false">H8*(1+Assumptions!I29)</f>
        <v>488014</v>
      </c>
      <c r="J8" s="24" t="n">
        <f aca="false">I8*(1+Assumptions!J29)</f>
        <v>502654.42</v>
      </c>
    </row>
    <row r="9" customFormat="false" ht="15" hidden="false" customHeight="true" outlineLevel="0" collapsed="false">
      <c r="A9" s="15" t="s">
        <v>100</v>
      </c>
      <c r="D9" s="21" t="n">
        <v>1710000</v>
      </c>
      <c r="E9" s="21" t="n">
        <v>1870000</v>
      </c>
      <c r="F9" s="21" t="n">
        <v>2020000</v>
      </c>
      <c r="G9" s="24" t="n">
        <f aca="false">G5*Assumptions!G23</f>
        <v>2120000</v>
      </c>
      <c r="H9" s="24" t="n">
        <f aca="false">H5*Assumptions!H23</f>
        <v>2209941</v>
      </c>
      <c r="I9" s="24" t="n">
        <f aca="false">I5*Assumptions!I23</f>
        <v>2299903.2</v>
      </c>
      <c r="J9" s="24" t="n">
        <f aca="false">J5*Assumptions!J23</f>
        <v>2370543.084</v>
      </c>
    </row>
    <row r="10" customFormat="false" ht="15" hidden="false" customHeight="true" outlineLevel="0" collapsed="false">
      <c r="A10" s="8" t="s">
        <v>101</v>
      </c>
      <c r="D10" s="25" t="n">
        <f aca="false">D7-D8-D9</f>
        <v>1562000</v>
      </c>
      <c r="E10" s="25" t="n">
        <f aca="false">E7-E8-E9</f>
        <v>1903500</v>
      </c>
      <c r="F10" s="25" t="n">
        <f aca="false">F7-F8-F9</f>
        <v>2307200</v>
      </c>
      <c r="G10" s="25" t="n">
        <f aca="false">G7-G8-G9</f>
        <v>2401500</v>
      </c>
      <c r="H10" s="25" t="n">
        <f aca="false">H7-H8-H9</f>
        <v>2890004</v>
      </c>
      <c r="I10" s="25" t="n">
        <f aca="false">I7-I8-I9</f>
        <v>3105584.75</v>
      </c>
      <c r="J10" s="25" t="n">
        <f aca="false">J7-J8-J9</f>
        <v>3277400.768</v>
      </c>
    </row>
    <row r="11" customFormat="false" ht="15" hidden="false" customHeight="true" outlineLevel="0" collapsed="false">
      <c r="A11" s="15" t="s">
        <v>102</v>
      </c>
      <c r="D11" s="21" t="n">
        <v>610000</v>
      </c>
      <c r="E11" s="21" t="n">
        <v>640000</v>
      </c>
      <c r="F11" s="21" t="n">
        <v>690000</v>
      </c>
      <c r="G11" s="26" t="n">
        <f aca="false">G68+G69</f>
        <v>708300</v>
      </c>
      <c r="H11" s="26" t="n">
        <f aca="false">H68+H69</f>
        <v>1259120.525</v>
      </c>
      <c r="I11" s="26" t="n">
        <f aca="false">I68+I69</f>
        <v>1309912.0097</v>
      </c>
      <c r="J11" s="26" t="n">
        <f aca="false">J68+J69</f>
        <v>1366475.254025</v>
      </c>
    </row>
    <row r="12" customFormat="false" ht="15" hidden="false" customHeight="true" outlineLevel="0" collapsed="false">
      <c r="A12" s="8" t="s">
        <v>103</v>
      </c>
      <c r="D12" s="25" t="n">
        <f aca="false">D10-D11</f>
        <v>952000</v>
      </c>
      <c r="E12" s="25" t="n">
        <f aca="false">E10-E11</f>
        <v>1263500</v>
      </c>
      <c r="F12" s="25" t="n">
        <f aca="false">F10-F11</f>
        <v>1617200</v>
      </c>
      <c r="G12" s="25" t="n">
        <f aca="false">G10-G11</f>
        <v>1693200</v>
      </c>
      <c r="H12" s="25" t="n">
        <f aca="false">H10-H11</f>
        <v>1630883.475</v>
      </c>
      <c r="I12" s="25" t="n">
        <f aca="false">I10-I11</f>
        <v>1795672.7403</v>
      </c>
      <c r="J12" s="25" t="n">
        <f aca="false">J10-J11</f>
        <v>1910925.513975</v>
      </c>
    </row>
    <row r="13" customFormat="false" ht="15" hidden="false" customHeight="true" outlineLevel="0" collapsed="false">
      <c r="A13" s="15" t="s">
        <v>104</v>
      </c>
      <c r="D13" s="21" t="n">
        <v>245000</v>
      </c>
      <c r="E13" s="21" t="n">
        <v>228000</v>
      </c>
      <c r="F13" s="21" t="n">
        <v>214000</v>
      </c>
      <c r="G13" s="24" t="n">
        <f aca="false">Debt_Schedule!G25</f>
        <v>170410</v>
      </c>
      <c r="H13" s="24" t="n">
        <f aca="false">Debt_Schedule!H25</f>
        <v>331468.191417086</v>
      </c>
      <c r="I13" s="24" t="n">
        <f aca="false">Debt_Schedule!I25</f>
        <v>245782.396774909</v>
      </c>
      <c r="J13" s="24" t="n">
        <f aca="false">Debt_Schedule!J25</f>
        <v>156989.691282169</v>
      </c>
    </row>
    <row r="14" customFormat="false" ht="15" hidden="false" customHeight="true" outlineLevel="0" collapsed="false">
      <c r="A14" s="15" t="s">
        <v>105</v>
      </c>
      <c r="D14" s="21" t="n">
        <v>15000</v>
      </c>
      <c r="E14" s="21" t="n">
        <v>-8000</v>
      </c>
      <c r="F14" s="21" t="n">
        <v>12000</v>
      </c>
      <c r="G14" s="26" t="n">
        <f aca="false">0</f>
        <v>0</v>
      </c>
      <c r="H14" s="26" t="n">
        <f aca="false">0</f>
        <v>0</v>
      </c>
      <c r="I14" s="26" t="n">
        <f aca="false">0</f>
        <v>0</v>
      </c>
      <c r="J14" s="26" t="n">
        <f aca="false">0</f>
        <v>0</v>
      </c>
    </row>
    <row r="15" customFormat="false" ht="15" hidden="false" customHeight="true" outlineLevel="0" collapsed="false">
      <c r="A15" s="8" t="s">
        <v>106</v>
      </c>
      <c r="D15" s="25" t="n">
        <f aca="false">D12-D13+D14</f>
        <v>722000</v>
      </c>
      <c r="E15" s="25" t="n">
        <f aca="false">E12-E13+E14</f>
        <v>1027500</v>
      </c>
      <c r="F15" s="25" t="n">
        <f aca="false">F12-F13+F14</f>
        <v>1415200</v>
      </c>
      <c r="G15" s="25" t="n">
        <f aca="false">G12-G13+G14</f>
        <v>1522790</v>
      </c>
      <c r="H15" s="25" t="n">
        <f aca="false">H12-H13+H14</f>
        <v>1299415.28358291</v>
      </c>
      <c r="I15" s="25" t="n">
        <f aca="false">I12-I13+I14</f>
        <v>1549890.34352509</v>
      </c>
      <c r="J15" s="25" t="n">
        <f aca="false">J12-J13+J14</f>
        <v>1753935.82269283</v>
      </c>
    </row>
    <row r="16" customFormat="false" ht="15" hidden="false" customHeight="true" outlineLevel="0" collapsed="false">
      <c r="A16" s="15" t="s">
        <v>107</v>
      </c>
      <c r="D16" s="21" t="n">
        <v>400000</v>
      </c>
      <c r="E16" s="21" t="n">
        <v>480000</v>
      </c>
      <c r="F16" s="21" t="n">
        <v>700000</v>
      </c>
      <c r="G16" s="24" t="n">
        <f aca="false">MAX(0,G15*Assumptions!G59)</f>
        <v>685255.5</v>
      </c>
      <c r="H16" s="24" t="n">
        <f aca="false">MAX(0,H15*Assumptions!H59)</f>
        <v>584736.877612311</v>
      </c>
      <c r="I16" s="24" t="n">
        <f aca="false">MAX(0,I15*Assumptions!I59)</f>
        <v>697450.654586291</v>
      </c>
      <c r="J16" s="24" t="n">
        <f aca="false">MAX(0,J15*Assumptions!J59)</f>
        <v>789271.120211774</v>
      </c>
    </row>
    <row r="17" customFormat="false" ht="15" hidden="false" customHeight="true" outlineLevel="0" collapsed="false">
      <c r="A17" s="27" t="s">
        <v>108</v>
      </c>
      <c r="D17" s="16" t="n">
        <f aca="false">D7/D5</f>
        <v>0.26</v>
      </c>
      <c r="E17" s="16" t="n">
        <f aca="false">E7/E5</f>
        <v>0.265</v>
      </c>
      <c r="F17" s="16" t="n">
        <f aca="false">F7/F5</f>
        <v>0.272</v>
      </c>
      <c r="G17" s="16" t="n">
        <f aca="false">G7/G5</f>
        <v>0.27</v>
      </c>
      <c r="H17" s="16" t="n">
        <f aca="false">H7/H5</f>
        <v>0.285</v>
      </c>
      <c r="I17" s="16" t="n">
        <f aca="false">I7/I5</f>
        <v>0.287</v>
      </c>
      <c r="J17" s="16" t="n">
        <f aca="false">J7/J5</f>
        <v>0.288</v>
      </c>
    </row>
    <row r="18" customFormat="false" ht="15" hidden="false" customHeight="true" outlineLevel="0" collapsed="false">
      <c r="A18" s="27" t="s">
        <v>109</v>
      </c>
      <c r="D18" s="16" t="n">
        <f aca="false">D10/D5</f>
        <v>0.11</v>
      </c>
      <c r="E18" s="16" t="n">
        <f aca="false">E10/E5</f>
        <v>0.119716981132075</v>
      </c>
      <c r="F18" s="16" t="n">
        <f aca="false">F10/F5</f>
        <v>0.131090909090909</v>
      </c>
      <c r="G18" s="16" t="n">
        <f aca="false">G10/G5</f>
        <v>0.130162601626016</v>
      </c>
      <c r="H18" s="16" t="n">
        <f aca="false">H10/H5</f>
        <v>0.147773380375313</v>
      </c>
      <c r="I18" s="16" t="n">
        <f aca="false">I10/I5</f>
        <v>0.151234839796736</v>
      </c>
      <c r="J18" s="16" t="n">
        <f aca="false">J10/J5</f>
        <v>0.153463350952536</v>
      </c>
    </row>
    <row r="20" customFormat="false" ht="15" hidden="false" customHeight="true" outlineLevel="0" collapsed="false">
      <c r="A20" s="6" t="s">
        <v>110</v>
      </c>
      <c r="B20" s="7"/>
      <c r="C20" s="7"/>
      <c r="D20" s="7" t="s">
        <v>93</v>
      </c>
      <c r="E20" s="7" t="s">
        <v>94</v>
      </c>
      <c r="F20" s="7" t="s">
        <v>95</v>
      </c>
      <c r="G20" s="7" t="s">
        <v>34</v>
      </c>
      <c r="H20" s="7" t="s">
        <v>35</v>
      </c>
      <c r="I20" s="7" t="s">
        <v>36</v>
      </c>
      <c r="J20" s="7" t="s">
        <v>37</v>
      </c>
    </row>
    <row r="21" customFormat="false" ht="15" hidden="false" customHeight="true" outlineLevel="0" collapsed="false">
      <c r="A21" s="15" t="s">
        <v>111</v>
      </c>
      <c r="D21" s="21" t="n">
        <v>610000</v>
      </c>
      <c r="E21" s="21" t="n">
        <v>667500</v>
      </c>
      <c r="F21" s="21" t="n">
        <v>612700</v>
      </c>
      <c r="G21" s="24" t="n">
        <f aca="false">Debt_Schedule!G21</f>
        <v>500000</v>
      </c>
      <c r="H21" s="24" t="n">
        <f aca="false">Debt_Schedule!H21</f>
        <v>500000</v>
      </c>
      <c r="I21" s="24" t="n">
        <f aca="false">Debt_Schedule!I21</f>
        <v>500000</v>
      </c>
      <c r="J21" s="24" t="n">
        <f aca="false">Debt_Schedule!J21</f>
        <v>1390558.23408458</v>
      </c>
    </row>
    <row r="22" customFormat="false" ht="15" hidden="false" customHeight="true" outlineLevel="0" collapsed="false">
      <c r="A22" s="15" t="s">
        <v>112</v>
      </c>
      <c r="D22" s="21" t="n">
        <v>1750000</v>
      </c>
      <c r="E22" s="21" t="n">
        <v>1980000</v>
      </c>
      <c r="F22" s="21" t="n">
        <v>2250000</v>
      </c>
      <c r="G22" s="24" t="n">
        <f aca="false">G5*Assumptions!G35/365</f>
        <v>2426301.36986301</v>
      </c>
      <c r="H22" s="24" t="n">
        <f aca="false">H5*Assumptions!H35/365</f>
        <v>2518298.63013699</v>
      </c>
      <c r="I22" s="24" t="n">
        <f aca="false">I5*Assumptions!I35/365</f>
        <v>2644213.56164384</v>
      </c>
      <c r="J22" s="24" t="n">
        <f aca="false">J5*Assumptions!J35/365</f>
        <v>2749982.10410959</v>
      </c>
    </row>
    <row r="23" customFormat="false" ht="15" hidden="false" customHeight="true" outlineLevel="0" collapsed="false">
      <c r="A23" s="15" t="s">
        <v>113</v>
      </c>
      <c r="D23" s="21" t="n">
        <v>1420000</v>
      </c>
      <c r="E23" s="21" t="n">
        <v>1500000</v>
      </c>
      <c r="F23" s="21" t="n">
        <v>1640000</v>
      </c>
      <c r="G23" s="24" t="n">
        <f aca="false">G6*Assumptions!G41/365</f>
        <v>1771200</v>
      </c>
      <c r="H23" s="24" t="n">
        <f aca="false">H6*Assumptions!H41/365</f>
        <v>1800583.52054795</v>
      </c>
      <c r="I23" s="24" t="n">
        <f aca="false">I6*Assumptions!I41/365</f>
        <v>1885324.26945205</v>
      </c>
      <c r="J23" s="24" t="n">
        <f aca="false">J6*Assumptions!J41/365</f>
        <v>1957987.25812603</v>
      </c>
    </row>
    <row r="24" customFormat="false" ht="15" hidden="false" customHeight="true" outlineLevel="0" collapsed="false">
      <c r="A24" s="15" t="s">
        <v>114</v>
      </c>
      <c r="D24" s="21" t="n">
        <v>90000</v>
      </c>
      <c r="E24" s="21" t="n">
        <v>105000</v>
      </c>
      <c r="F24" s="21" t="n">
        <v>110000</v>
      </c>
      <c r="G24" s="24" t="n">
        <f aca="false">G5*Assumptions!$B$62</f>
        <v>115312.5</v>
      </c>
      <c r="H24" s="24" t="n">
        <f aca="false">H5*Assumptions!$B$62</f>
        <v>122231.25</v>
      </c>
      <c r="I24" s="24" t="n">
        <f aca="false">I5*Assumptions!$B$62</f>
        <v>128342.8125</v>
      </c>
      <c r="J24" s="24" t="n">
        <f aca="false">J5*Assumptions!$B$62</f>
        <v>133476.525</v>
      </c>
    </row>
    <row r="25" customFormat="false" ht="15" hidden="false" customHeight="true" outlineLevel="0" collapsed="false">
      <c r="A25" s="8" t="s">
        <v>115</v>
      </c>
      <c r="D25" s="25" t="n">
        <f aca="false">SUM(D21:D24)</f>
        <v>3870000</v>
      </c>
      <c r="E25" s="25" t="n">
        <f aca="false">SUM(E21:E24)</f>
        <v>4252500</v>
      </c>
      <c r="F25" s="25" t="n">
        <f aca="false">SUM(F21:F24)</f>
        <v>4612700</v>
      </c>
      <c r="G25" s="25" t="n">
        <f aca="false">SUM(G21:G24)</f>
        <v>4812813.86986301</v>
      </c>
      <c r="H25" s="25" t="n">
        <f aca="false">SUM(H21:H24)</f>
        <v>4941113.40068493</v>
      </c>
      <c r="I25" s="25" t="n">
        <f aca="false">SUM(I21:I24)</f>
        <v>5157880.64359589</v>
      </c>
      <c r="J25" s="25" t="n">
        <f aca="false">SUM(J21:J24)</f>
        <v>6232004.12132019</v>
      </c>
    </row>
    <row r="26" customFormat="false" ht="15" hidden="false" customHeight="true" outlineLevel="0" collapsed="false">
      <c r="A26" s="15" t="s">
        <v>116</v>
      </c>
      <c r="D26" s="21" t="n">
        <v>7800000</v>
      </c>
      <c r="E26" s="21" t="n">
        <v>8300000</v>
      </c>
      <c r="F26" s="21" t="n">
        <v>9000000</v>
      </c>
      <c r="G26" s="26" t="n">
        <f aca="false">F26+G66+G67</f>
        <v>9945750</v>
      </c>
      <c r="H26" s="26" t="n">
        <f aca="false">G26+H66+H67</f>
        <v>13791131</v>
      </c>
      <c r="I26" s="26" t="n">
        <f aca="false">H26+I66+I67</f>
        <v>14509850.75</v>
      </c>
      <c r="J26" s="26" t="n">
        <f aca="false">I26+J66+J67</f>
        <v>15257319.29</v>
      </c>
    </row>
    <row r="27" customFormat="false" ht="15" hidden="false" customHeight="true" outlineLevel="0" collapsed="false">
      <c r="A27" s="15" t="s">
        <v>117</v>
      </c>
      <c r="D27" s="21" t="n">
        <v>-3900000</v>
      </c>
      <c r="E27" s="21" t="n">
        <v>-4540000</v>
      </c>
      <c r="F27" s="21" t="n">
        <v>-5230000</v>
      </c>
      <c r="G27" s="26" t="n">
        <f aca="false">F27-G11</f>
        <v>-5938300</v>
      </c>
      <c r="H27" s="26" t="n">
        <f aca="false">G27-H11</f>
        <v>-7197420.525</v>
      </c>
      <c r="I27" s="26" t="n">
        <f aca="false">H27-I11</f>
        <v>-8507332.5347</v>
      </c>
      <c r="J27" s="26" t="n">
        <f aca="false">I27-J11</f>
        <v>-9873807.788725</v>
      </c>
    </row>
    <row r="28" customFormat="false" ht="15" hidden="false" customHeight="true" outlineLevel="0" collapsed="false">
      <c r="A28" s="8" t="s">
        <v>118</v>
      </c>
      <c r="D28" s="25" t="n">
        <f aca="false">D26+D27</f>
        <v>3900000</v>
      </c>
      <c r="E28" s="25" t="n">
        <f aca="false">E26+E27</f>
        <v>3760000</v>
      </c>
      <c r="F28" s="25" t="n">
        <f aca="false">F26+F27</f>
        <v>3770000</v>
      </c>
      <c r="G28" s="25" t="n">
        <f aca="false">G26+G27</f>
        <v>4007450</v>
      </c>
      <c r="H28" s="25" t="n">
        <f aca="false">H26+H27</f>
        <v>6593710.475</v>
      </c>
      <c r="I28" s="25" t="n">
        <f aca="false">I26+I27</f>
        <v>6002518.2153</v>
      </c>
      <c r="J28" s="25" t="n">
        <f aca="false">J26+J27</f>
        <v>5383511.501275</v>
      </c>
    </row>
    <row r="29" customFormat="false" ht="15" hidden="false" customHeight="true" outlineLevel="0" collapsed="false">
      <c r="A29" s="15" t="s">
        <v>119</v>
      </c>
      <c r="D29" s="21" t="n">
        <v>120000</v>
      </c>
      <c r="E29" s="21" t="n">
        <v>115000</v>
      </c>
      <c r="F29" s="21" t="n">
        <v>110000</v>
      </c>
      <c r="G29" s="26" t="n">
        <f aca="false">F29</f>
        <v>110000</v>
      </c>
      <c r="H29" s="26" t="n">
        <f aca="false">G29</f>
        <v>110000</v>
      </c>
      <c r="I29" s="26" t="n">
        <f aca="false">H29</f>
        <v>110000</v>
      </c>
      <c r="J29" s="26" t="n">
        <f aca="false">I29</f>
        <v>110000</v>
      </c>
    </row>
    <row r="30" customFormat="false" ht="15" hidden="false" customHeight="true" outlineLevel="0" collapsed="false">
      <c r="A30" s="8" t="s">
        <v>120</v>
      </c>
      <c r="D30" s="25" t="n">
        <f aca="false">D25+D28+D29</f>
        <v>7890000</v>
      </c>
      <c r="E30" s="25" t="n">
        <f aca="false">E25+E28+E29</f>
        <v>8127500</v>
      </c>
      <c r="F30" s="25" t="n">
        <f aca="false">F25+F28+F29</f>
        <v>8492700</v>
      </c>
      <c r="G30" s="25" t="n">
        <f aca="false">G25+G28+G29</f>
        <v>8930263.86986302</v>
      </c>
      <c r="H30" s="25" t="n">
        <f aca="false">H25+H28+H29</f>
        <v>11644823.8756849</v>
      </c>
      <c r="I30" s="25" t="n">
        <f aca="false">I25+I28+I29</f>
        <v>11270398.8588959</v>
      </c>
      <c r="J30" s="25" t="n">
        <f aca="false">J25+J28+J29</f>
        <v>11725515.6225952</v>
      </c>
    </row>
    <row r="32" customFormat="false" ht="15" hidden="false" customHeight="true" outlineLevel="0" collapsed="false">
      <c r="A32" s="15" t="s">
        <v>121</v>
      </c>
      <c r="D32" s="21" t="n">
        <v>650000</v>
      </c>
      <c r="E32" s="21" t="n">
        <v>720000</v>
      </c>
      <c r="F32" s="21" t="n">
        <v>780000</v>
      </c>
      <c r="G32" s="24" t="n">
        <f aca="false">Debt_Schedule!G18</f>
        <v>844437.369863014</v>
      </c>
      <c r="H32" s="24" t="n">
        <f aca="false">Debt_Schedule!H18</f>
        <v>483578.557985678</v>
      </c>
      <c r="I32" s="24" t="n">
        <f aca="false">Debt_Schedule!I18</f>
        <v>126922.410235395</v>
      </c>
      <c r="J32" s="24" t="n">
        <f aca="false">Debt_Schedule!J18</f>
        <v>0</v>
      </c>
    </row>
    <row r="33" customFormat="false" ht="15" hidden="false" customHeight="true" outlineLevel="0" collapsed="false">
      <c r="A33" s="15" t="s">
        <v>122</v>
      </c>
      <c r="D33" s="21" t="n">
        <v>520000</v>
      </c>
      <c r="E33" s="21" t="n">
        <v>540000</v>
      </c>
      <c r="F33" s="21" t="n">
        <v>560000</v>
      </c>
      <c r="G33" s="24" t="n">
        <f aca="false">Debt_Schedule!G13</f>
        <v>585000</v>
      </c>
      <c r="H33" s="24" t="n">
        <f aca="false">Debt_Schedule!H13</f>
        <v>952569.353933723</v>
      </c>
      <c r="I33" s="24" t="n">
        <f aca="false">Debt_Schedule!I13</f>
        <v>453247.769453319</v>
      </c>
      <c r="J33" s="24" t="n">
        <f aca="false">Debt_Schedule!J13</f>
        <v>395850.995280742</v>
      </c>
    </row>
    <row r="34" customFormat="false" ht="15" hidden="false" customHeight="true" outlineLevel="0" collapsed="false">
      <c r="A34" s="15" t="s">
        <v>123</v>
      </c>
      <c r="D34" s="21" t="n">
        <v>980000</v>
      </c>
      <c r="E34" s="21" t="n">
        <v>1090000</v>
      </c>
      <c r="F34" s="21" t="n">
        <v>1180000</v>
      </c>
      <c r="G34" s="24" t="n">
        <f aca="false">G6*Assumptions!G47/365</f>
        <v>1254600</v>
      </c>
      <c r="H34" s="24" t="n">
        <f aca="false">H6*Assumptions!H47/365</f>
        <v>1302549.78082192</v>
      </c>
      <c r="I34" s="24" t="n">
        <f aca="false">I6*Assumptions!I47/365</f>
        <v>1363851.59917808</v>
      </c>
      <c r="J34" s="24" t="n">
        <f aca="false">J6*Assumptions!J47/365</f>
        <v>1416416.31438904</v>
      </c>
    </row>
    <row r="35" customFormat="false" ht="15" hidden="false" customHeight="true" outlineLevel="0" collapsed="false">
      <c r="A35" s="15" t="s">
        <v>124</v>
      </c>
      <c r="D35" s="21" t="n">
        <v>340000</v>
      </c>
      <c r="E35" s="21" t="n">
        <v>370000</v>
      </c>
      <c r="F35" s="21" t="n">
        <v>410000</v>
      </c>
      <c r="G35" s="24" t="n">
        <f aca="false">G6*Assumptions!$B$63</f>
        <v>430992</v>
      </c>
      <c r="H35" s="24" t="n">
        <f aca="false">H6*Assumptions!$B$63</f>
        <v>447464.16</v>
      </c>
      <c r="I35" s="24" t="n">
        <f aca="false">I6*Assumptions!$B$63</f>
        <v>468523.1376</v>
      </c>
      <c r="J35" s="24" t="n">
        <f aca="false">J6*Assumptions!$B$63</f>
        <v>486580.663296</v>
      </c>
    </row>
    <row r="36" customFormat="false" ht="15" hidden="false" customHeight="true" outlineLevel="0" collapsed="false">
      <c r="A36" s="8" t="s">
        <v>125</v>
      </c>
      <c r="D36" s="25" t="n">
        <f aca="false">SUM(D32:D35)</f>
        <v>2490000</v>
      </c>
      <c r="E36" s="25" t="n">
        <f aca="false">SUM(E32:E35)</f>
        <v>2720000</v>
      </c>
      <c r="F36" s="25" t="n">
        <f aca="false">SUM(F32:F35)</f>
        <v>2930000</v>
      </c>
      <c r="G36" s="25" t="n">
        <f aca="false">SUM(G32:G35)</f>
        <v>3115029.36986301</v>
      </c>
      <c r="H36" s="25" t="n">
        <f aca="false">SUM(H32:H35)</f>
        <v>3186161.85274132</v>
      </c>
      <c r="I36" s="25" t="n">
        <f aca="false">SUM(I32:I35)</f>
        <v>2412544.9164668</v>
      </c>
      <c r="J36" s="25" t="n">
        <f aca="false">SUM(J32:J35)</f>
        <v>2298847.97296578</v>
      </c>
    </row>
    <row r="37" customFormat="false" ht="15" hidden="false" customHeight="true" outlineLevel="0" collapsed="false">
      <c r="A37" s="15" t="s">
        <v>126</v>
      </c>
      <c r="D37" s="21" t="n">
        <v>2380000</v>
      </c>
      <c r="E37" s="21" t="n">
        <v>1840000</v>
      </c>
      <c r="F37" s="21" t="n">
        <v>1280000</v>
      </c>
      <c r="G37" s="24" t="n">
        <f aca="false">Debt_Schedule!G12-G33</f>
        <v>695000</v>
      </c>
      <c r="H37" s="24" t="n">
        <f aca="false">Debt_Schedule!H12-H33</f>
        <v>2223749.11697301</v>
      </c>
      <c r="I37" s="24" t="n">
        <f aca="false">Debt_Schedule!I12-I33</f>
        <v>1770501.34751969</v>
      </c>
      <c r="J37" s="24" t="n">
        <f aca="false">Debt_Schedule!J12-J33</f>
        <v>1374650.35223895</v>
      </c>
    </row>
    <row r="38" customFormat="false" ht="15" hidden="false" customHeight="true" outlineLevel="0" collapsed="false">
      <c r="A38" s="8" t="s">
        <v>127</v>
      </c>
      <c r="D38" s="25" t="n">
        <f aca="false">D36+D37</f>
        <v>4870000</v>
      </c>
      <c r="E38" s="25" t="n">
        <f aca="false">E36+E37</f>
        <v>4560000</v>
      </c>
      <c r="F38" s="25" t="n">
        <f aca="false">F36+F37</f>
        <v>4210000</v>
      </c>
      <c r="G38" s="25" t="n">
        <f aca="false">G36+G37</f>
        <v>3810029.36986301</v>
      </c>
      <c r="H38" s="25" t="n">
        <f aca="false">H36+H37</f>
        <v>5409910.96971433</v>
      </c>
      <c r="I38" s="25" t="n">
        <f aca="false">I36+I37</f>
        <v>4183046.26398649</v>
      </c>
      <c r="J38" s="25" t="n">
        <f aca="false">J36+J37</f>
        <v>3673498.32520473</v>
      </c>
    </row>
    <row r="39" customFormat="false" ht="15" hidden="false" customHeight="true" outlineLevel="0" collapsed="false">
      <c r="A39" s="15" t="s">
        <v>128</v>
      </c>
      <c r="D39" s="21" t="n">
        <v>3020000</v>
      </c>
      <c r="E39" s="21" t="n">
        <v>3567500</v>
      </c>
      <c r="F39" s="21" t="n">
        <v>4282700</v>
      </c>
      <c r="G39" s="26" t="n">
        <f aca="false">F39+G15-G16+G59</f>
        <v>5120234.5</v>
      </c>
      <c r="H39" s="26" t="n">
        <f aca="false">G39+H15-H16+H59</f>
        <v>6234912.9059706</v>
      </c>
      <c r="I39" s="26" t="n">
        <f aca="false">H39+I15-I16+I59</f>
        <v>7087352.5949094</v>
      </c>
      <c r="J39" s="26" t="n">
        <f aca="false">I39+J15-J16+J59</f>
        <v>8052017.29739046</v>
      </c>
    </row>
    <row r="40" customFormat="false" ht="15" hidden="false" customHeight="true" outlineLevel="0" collapsed="false">
      <c r="A40" s="8" t="s">
        <v>129</v>
      </c>
      <c r="D40" s="25" t="n">
        <f aca="false">D38+D39</f>
        <v>7890000</v>
      </c>
      <c r="E40" s="25" t="n">
        <f aca="false">E38+E39</f>
        <v>8127500</v>
      </c>
      <c r="F40" s="25" t="n">
        <f aca="false">F38+F39</f>
        <v>8492700</v>
      </c>
      <c r="G40" s="25" t="n">
        <f aca="false">G38+G39</f>
        <v>8930263.86986302</v>
      </c>
      <c r="H40" s="25" t="n">
        <f aca="false">H38+H39</f>
        <v>11644823.8756849</v>
      </c>
      <c r="I40" s="25" t="n">
        <f aca="false">I38+I39</f>
        <v>11270398.8588959</v>
      </c>
      <c r="J40" s="25" t="n">
        <f aca="false">J38+J39</f>
        <v>11725515.6225952</v>
      </c>
    </row>
    <row r="41" customFormat="false" ht="15" hidden="false" customHeight="true" outlineLevel="0" collapsed="false">
      <c r="A41" s="15" t="s">
        <v>130</v>
      </c>
      <c r="D41" s="28" t="n">
        <f aca="false">D30-D40</f>
        <v>0</v>
      </c>
      <c r="E41" s="28" t="n">
        <f aca="false">E30-E40</f>
        <v>0</v>
      </c>
      <c r="F41" s="28" t="n">
        <f aca="false">F30-F40</f>
        <v>0</v>
      </c>
      <c r="G41" s="28" t="n">
        <f aca="false">G30-G40</f>
        <v>0</v>
      </c>
      <c r="H41" s="28" t="n">
        <f aca="false">H30-H40</f>
        <v>0</v>
      </c>
      <c r="I41" s="28" t="n">
        <f aca="false">I30-I40</f>
        <v>0</v>
      </c>
      <c r="J41" s="28" t="n">
        <f aca="false">J30-J40</f>
        <v>0</v>
      </c>
    </row>
    <row r="43" customFormat="false" ht="15" hidden="false" customHeight="true" outlineLevel="0" collapsed="false">
      <c r="A43" s="6" t="s">
        <v>131</v>
      </c>
      <c r="B43" s="7"/>
      <c r="C43" s="7"/>
      <c r="D43" s="7" t="s">
        <v>93</v>
      </c>
      <c r="E43" s="7" t="s">
        <v>94</v>
      </c>
      <c r="F43" s="7" t="s">
        <v>95</v>
      </c>
      <c r="G43" s="7" t="s">
        <v>34</v>
      </c>
      <c r="H43" s="7" t="s">
        <v>35</v>
      </c>
      <c r="I43" s="7" t="s">
        <v>36</v>
      </c>
      <c r="J43" s="7" t="s">
        <v>37</v>
      </c>
    </row>
    <row r="44" customFormat="false" ht="15" hidden="false" customHeight="true" outlineLevel="0" collapsed="false">
      <c r="A44" s="15" t="s">
        <v>132</v>
      </c>
      <c r="D44" s="4"/>
      <c r="G44" s="26" t="n">
        <f aca="false">G15</f>
        <v>1522790</v>
      </c>
      <c r="H44" s="26" t="n">
        <f aca="false">H15</f>
        <v>1299415.28358291</v>
      </c>
      <c r="I44" s="26" t="n">
        <f aca="false">I15</f>
        <v>1549890.34352509</v>
      </c>
      <c r="J44" s="26" t="n">
        <f aca="false">J15</f>
        <v>1753935.82269283</v>
      </c>
    </row>
    <row r="45" customFormat="false" ht="15" hidden="false" customHeight="true" outlineLevel="0" collapsed="false">
      <c r="A45" s="15" t="s">
        <v>133</v>
      </c>
      <c r="G45" s="26" t="n">
        <f aca="false">G11</f>
        <v>708300</v>
      </c>
      <c r="H45" s="26" t="n">
        <f aca="false">H11</f>
        <v>1259120.525</v>
      </c>
      <c r="I45" s="26" t="n">
        <f aca="false">I11</f>
        <v>1309912.0097</v>
      </c>
      <c r="J45" s="26" t="n">
        <f aca="false">J11</f>
        <v>1366475.254025</v>
      </c>
    </row>
    <row r="46" customFormat="false" ht="15" hidden="false" customHeight="true" outlineLevel="0" collapsed="false">
      <c r="A46" s="15" t="s">
        <v>134</v>
      </c>
      <c r="G46" s="26" t="n">
        <f aca="false">F22-G22</f>
        <v>-176301.369863014</v>
      </c>
      <c r="H46" s="26" t="n">
        <f aca="false">G22-H22</f>
        <v>-91997.2602739725</v>
      </c>
      <c r="I46" s="26" t="n">
        <f aca="false">H22-I22</f>
        <v>-125914.931506849</v>
      </c>
      <c r="J46" s="26" t="n">
        <f aca="false">I22-J22</f>
        <v>-105768.542465753</v>
      </c>
    </row>
    <row r="47" customFormat="false" ht="15" hidden="false" customHeight="true" outlineLevel="0" collapsed="false">
      <c r="A47" s="15" t="s">
        <v>135</v>
      </c>
      <c r="G47" s="26" t="n">
        <f aca="false">F23-G23</f>
        <v>-131200</v>
      </c>
      <c r="H47" s="26" t="n">
        <f aca="false">G23-H23</f>
        <v>-29383.5205479455</v>
      </c>
      <c r="I47" s="26" t="n">
        <f aca="false">H23-I23</f>
        <v>-84740.7489041092</v>
      </c>
      <c r="J47" s="26" t="n">
        <f aca="false">I23-J23</f>
        <v>-72662.9886739724</v>
      </c>
    </row>
    <row r="48" customFormat="false" ht="15" hidden="false" customHeight="true" outlineLevel="0" collapsed="false">
      <c r="A48" s="15" t="s">
        <v>136</v>
      </c>
      <c r="G48" s="26" t="n">
        <f aca="false">F24-G24</f>
        <v>-5312.5</v>
      </c>
      <c r="H48" s="26" t="n">
        <f aca="false">G24-H24</f>
        <v>-6918.75</v>
      </c>
      <c r="I48" s="26" t="n">
        <f aca="false">H24-I24</f>
        <v>-6111.5625</v>
      </c>
      <c r="J48" s="26" t="n">
        <f aca="false">I24-J24</f>
        <v>-5133.71249999999</v>
      </c>
    </row>
    <row r="49" customFormat="false" ht="15" hidden="false" customHeight="true" outlineLevel="0" collapsed="false">
      <c r="A49" s="15" t="s">
        <v>137</v>
      </c>
      <c r="G49" s="26" t="n">
        <f aca="false">G34-F34</f>
        <v>74600</v>
      </c>
      <c r="H49" s="26" t="n">
        <f aca="false">H34-G34</f>
        <v>47949.780821918</v>
      </c>
      <c r="I49" s="26" t="n">
        <f aca="false">I34-H34</f>
        <v>61301.8183561643</v>
      </c>
      <c r="J49" s="26" t="n">
        <f aca="false">J34-I34</f>
        <v>52564.7152109586</v>
      </c>
    </row>
    <row r="50" customFormat="false" ht="15" hidden="false" customHeight="true" outlineLevel="0" collapsed="false">
      <c r="A50" s="15" t="s">
        <v>138</v>
      </c>
      <c r="G50" s="26" t="n">
        <f aca="false">G35-F35</f>
        <v>20992</v>
      </c>
      <c r="H50" s="26" t="n">
        <f aca="false">H35-G35</f>
        <v>16472.1600000001</v>
      </c>
      <c r="I50" s="26" t="n">
        <f aca="false">I35-H35</f>
        <v>21058.9775999999</v>
      </c>
      <c r="J50" s="26" t="n">
        <f aca="false">J35-I35</f>
        <v>18057.525696</v>
      </c>
    </row>
    <row r="51" customFormat="false" ht="15" hidden="false" customHeight="true" outlineLevel="0" collapsed="false">
      <c r="A51" s="8" t="s">
        <v>139</v>
      </c>
      <c r="G51" s="25" t="n">
        <f aca="false">SUM(G44:G50)</f>
        <v>2013868.13013699</v>
      </c>
      <c r="H51" s="25" t="n">
        <f aca="false">SUM(H44:H50)</f>
        <v>2494658.21858291</v>
      </c>
      <c r="I51" s="25" t="n">
        <f aca="false">SUM(I44:I50)</f>
        <v>2725395.9062703</v>
      </c>
      <c r="J51" s="25" t="n">
        <f aca="false">SUM(J44:J50)</f>
        <v>3007468.07398506</v>
      </c>
    </row>
    <row r="52" customFormat="false" ht="15" hidden="false" customHeight="true" outlineLevel="0" collapsed="false">
      <c r="A52" s="15" t="s">
        <v>140</v>
      </c>
      <c r="D52" s="4" t="s">
        <v>141</v>
      </c>
      <c r="G52" s="26" t="n">
        <f aca="false">-G66</f>
        <v>-645750</v>
      </c>
      <c r="H52" s="26" t="n">
        <f aca="false">-H66</f>
        <v>-645381</v>
      </c>
      <c r="I52" s="26" t="n">
        <f aca="false">-I66</f>
        <v>-718719.75</v>
      </c>
      <c r="J52" s="26" t="n">
        <f aca="false">-J66</f>
        <v>-747468.54</v>
      </c>
    </row>
    <row r="53" customFormat="false" ht="15" hidden="false" customHeight="true" outlineLevel="0" collapsed="false">
      <c r="A53" s="15" t="s">
        <v>142</v>
      </c>
      <c r="G53" s="26" t="n">
        <f aca="false">-G67</f>
        <v>-300000</v>
      </c>
      <c r="H53" s="26" t="n">
        <f aca="false">-H67</f>
        <v>-3200000</v>
      </c>
      <c r="I53" s="26" t="n">
        <f aca="false">-I67</f>
        <v>-0</v>
      </c>
      <c r="J53" s="26" t="n">
        <f aca="false">-J67</f>
        <v>-0</v>
      </c>
    </row>
    <row r="54" customFormat="false" ht="15" hidden="false" customHeight="true" outlineLevel="0" collapsed="false">
      <c r="A54" s="15" t="s">
        <v>143</v>
      </c>
      <c r="G54" s="26" t="n">
        <f aca="false">F29-G29</f>
        <v>0</v>
      </c>
      <c r="H54" s="26" t="n">
        <f aca="false">G29-H29</f>
        <v>0</v>
      </c>
      <c r="I54" s="26" t="n">
        <f aca="false">H29-I29</f>
        <v>0</v>
      </c>
      <c r="J54" s="26" t="n">
        <f aca="false">I29-J29</f>
        <v>0</v>
      </c>
    </row>
    <row r="55" customFormat="false" ht="15" hidden="false" customHeight="true" outlineLevel="0" collapsed="false">
      <c r="A55" s="8" t="s">
        <v>144</v>
      </c>
      <c r="G55" s="25" t="n">
        <f aca="false">SUM(G52:G54)</f>
        <v>-945750</v>
      </c>
      <c r="H55" s="25" t="n">
        <f aca="false">SUM(H52:H54)</f>
        <v>-3845381</v>
      </c>
      <c r="I55" s="25" t="n">
        <f aca="false">SUM(I52:I54)</f>
        <v>-718719.75</v>
      </c>
      <c r="J55" s="25" t="n">
        <f aca="false">SUM(J52:J54)</f>
        <v>-747468.54</v>
      </c>
    </row>
    <row r="56" customFormat="false" ht="15" hidden="false" customHeight="true" outlineLevel="0" collapsed="false">
      <c r="A56" s="15" t="s">
        <v>145</v>
      </c>
      <c r="G56" s="24" t="n">
        <f aca="false">Debt_Schedule!G9</f>
        <v>0</v>
      </c>
      <c r="H56" s="24" t="n">
        <f aca="false">Debt_Schedule!H9</f>
        <v>2800000</v>
      </c>
      <c r="I56" s="24" t="n">
        <f aca="false">Debt_Schedule!I9</f>
        <v>0</v>
      </c>
      <c r="J56" s="24" t="n">
        <f aca="false">Debt_Schedule!J9</f>
        <v>0</v>
      </c>
    </row>
    <row r="57" customFormat="false" ht="15" hidden="false" customHeight="true" outlineLevel="0" collapsed="false">
      <c r="A57" s="15" t="s">
        <v>146</v>
      </c>
      <c r="G57" s="24" t="n">
        <f aca="false">-(Debt_Schedule!G5+Debt_Schedule!G10)</f>
        <v>-560000</v>
      </c>
      <c r="H57" s="24" t="n">
        <f aca="false">-(Debt_Schedule!H5+Debt_Schedule!H10)</f>
        <v>-903681.529093266</v>
      </c>
      <c r="I57" s="24" t="n">
        <f aca="false">-(Debt_Schedule!I5+Debt_Schedule!I10)</f>
        <v>-952569.353933723</v>
      </c>
      <c r="J57" s="24" t="n">
        <f aca="false">-(Debt_Schedule!J5+Debt_Schedule!J10)</f>
        <v>-453247.769453319</v>
      </c>
    </row>
    <row r="58" customFormat="false" ht="15" hidden="false" customHeight="true" outlineLevel="0" collapsed="false">
      <c r="A58" s="15" t="s">
        <v>147</v>
      </c>
      <c r="G58" s="24" t="n">
        <f aca="false">Debt_Schedule!G17</f>
        <v>64437.3698630137</v>
      </c>
      <c r="H58" s="24" t="n">
        <f aca="false">Debt_Schedule!H17</f>
        <v>-360858.811877336</v>
      </c>
      <c r="I58" s="24" t="n">
        <f aca="false">Debt_Schedule!I17</f>
        <v>-356656.147750282</v>
      </c>
      <c r="J58" s="24" t="n">
        <f aca="false">Debt_Schedule!J17</f>
        <v>-126922.410235395</v>
      </c>
    </row>
    <row r="59" customFormat="false" ht="15" hidden="false" customHeight="true" outlineLevel="0" collapsed="false">
      <c r="A59" s="15" t="s">
        <v>148</v>
      </c>
      <c r="D59" s="21"/>
      <c r="E59" s="21"/>
      <c r="F59" s="21"/>
      <c r="G59" s="24" t="n">
        <f aca="false">IF(2026=2027,Assumptions!$B$71,0)</f>
        <v>0</v>
      </c>
      <c r="H59" s="24" t="n">
        <f aca="false">IF(2027=2027,Assumptions!$B$71,0)</f>
        <v>400000</v>
      </c>
      <c r="I59" s="24" t="n">
        <f aca="false">IF(2028=2027,Assumptions!$B$71,0)</f>
        <v>0</v>
      </c>
      <c r="J59" s="24" t="n">
        <f aca="false">IF(2029=2027,Assumptions!$B$71,0)</f>
        <v>0</v>
      </c>
    </row>
    <row r="60" customFormat="false" ht="15" hidden="false" customHeight="true" outlineLevel="0" collapsed="false">
      <c r="A60" s="15" t="s">
        <v>149</v>
      </c>
      <c r="G60" s="26" t="n">
        <f aca="false">-G16</f>
        <v>-685255.5</v>
      </c>
      <c r="H60" s="26" t="n">
        <f aca="false">-H16</f>
        <v>-584736.877612311</v>
      </c>
      <c r="I60" s="26" t="n">
        <f aca="false">-I16</f>
        <v>-697450.654586291</v>
      </c>
      <c r="J60" s="26" t="n">
        <f aca="false">-J16</f>
        <v>-789271.120211774</v>
      </c>
    </row>
    <row r="61" customFormat="false" ht="15" hidden="false" customHeight="true" outlineLevel="0" collapsed="false">
      <c r="A61" s="8" t="s">
        <v>150</v>
      </c>
      <c r="G61" s="25" t="n">
        <f aca="false">SUM(G56:G60)</f>
        <v>-1180818.13013699</v>
      </c>
      <c r="H61" s="25" t="n">
        <f aca="false">SUM(H56:H60)</f>
        <v>1350722.78141709</v>
      </c>
      <c r="I61" s="25" t="n">
        <f aca="false">SUM(I56:I60)</f>
        <v>-2006676.1562703</v>
      </c>
      <c r="J61" s="25" t="n">
        <f aca="false">SUM(J56:J60)</f>
        <v>-1369441.29990049</v>
      </c>
    </row>
    <row r="62" customFormat="false" ht="15" hidden="false" customHeight="true" outlineLevel="0" collapsed="false">
      <c r="A62" s="8" t="s">
        <v>151</v>
      </c>
      <c r="G62" s="25" t="n">
        <f aca="false">G51+G55+G61</f>
        <v>-112700</v>
      </c>
      <c r="H62" s="25" t="n">
        <f aca="false">H51+H55+H61</f>
        <v>0</v>
      </c>
      <c r="I62" s="25" t="n">
        <f aca="false">I51+I55+I61</f>
        <v>0</v>
      </c>
      <c r="J62" s="25" t="n">
        <f aca="false">J51+J55+J61</f>
        <v>890558.234084576</v>
      </c>
    </row>
    <row r="63" customFormat="false" ht="15" hidden="false" customHeight="true" outlineLevel="0" collapsed="false">
      <c r="A63" s="15" t="s">
        <v>152</v>
      </c>
      <c r="G63" s="28" t="n">
        <f aca="false">F21+G62-G21</f>
        <v>0</v>
      </c>
      <c r="H63" s="28" t="n">
        <f aca="false">G21+H62-H21</f>
        <v>0</v>
      </c>
      <c r="I63" s="28" t="n">
        <f aca="false">H21+I62-I21</f>
        <v>0</v>
      </c>
      <c r="J63" s="28" t="n">
        <f aca="false">I21+J62-J21</f>
        <v>0</v>
      </c>
    </row>
    <row r="65" customFormat="false" ht="15" hidden="false" customHeight="true" outlineLevel="0" collapsed="false">
      <c r="A65" s="6" t="s">
        <v>153</v>
      </c>
      <c r="B65" s="7"/>
      <c r="C65" s="7"/>
      <c r="D65" s="7" t="s">
        <v>93</v>
      </c>
      <c r="E65" s="7" t="s">
        <v>94</v>
      </c>
      <c r="F65" s="7" t="s">
        <v>95</v>
      </c>
      <c r="G65" s="7" t="s">
        <v>34</v>
      </c>
      <c r="H65" s="7" t="s">
        <v>35</v>
      </c>
      <c r="I65" s="7" t="s">
        <v>36</v>
      </c>
      <c r="J65" s="7" t="s">
        <v>37</v>
      </c>
    </row>
    <row r="66" customFormat="false" ht="15" hidden="false" customHeight="true" outlineLevel="0" collapsed="false">
      <c r="A66" s="15" t="s">
        <v>140</v>
      </c>
      <c r="G66" s="24" t="n">
        <f aca="false">G5*Assumptions!G53</f>
        <v>645750</v>
      </c>
      <c r="H66" s="24" t="n">
        <f aca="false">H5*Assumptions!H53</f>
        <v>645381</v>
      </c>
      <c r="I66" s="24" t="n">
        <f aca="false">I5*Assumptions!I53</f>
        <v>718719.75</v>
      </c>
      <c r="J66" s="24" t="n">
        <f aca="false">J5*Assumptions!J53</f>
        <v>747468.54</v>
      </c>
    </row>
    <row r="67" customFormat="false" ht="15" hidden="false" customHeight="true" outlineLevel="0" collapsed="false">
      <c r="A67" s="15" t="s">
        <v>154</v>
      </c>
      <c r="G67" s="24" t="n">
        <f aca="false">IF(2026=2026,Assumptions!$B$67,IF(2026=2027,Assumptions!$B$65-Assumptions!$B$67,0))</f>
        <v>300000</v>
      </c>
      <c r="H67" s="24" t="n">
        <f aca="false">IF(2027=2026,Assumptions!$B$67,IF(2027=2027,Assumptions!$B$65-Assumptions!$B$67,0))</f>
        <v>3200000</v>
      </c>
      <c r="I67" s="24" t="n">
        <f aca="false">IF(2028=2026,Assumptions!$B$67,IF(2028=2027,Assumptions!$B$65-Assumptions!$B$67,0))</f>
        <v>0</v>
      </c>
      <c r="J67" s="24" t="n">
        <f aca="false">IF(2029=2026,Assumptions!$B$67,IF(2029=2027,Assumptions!$B$65-Assumptions!$B$67,0))</f>
        <v>0</v>
      </c>
    </row>
    <row r="68" customFormat="false" ht="15" hidden="false" customHeight="true" outlineLevel="0" collapsed="false">
      <c r="A68" s="15" t="s">
        <v>155</v>
      </c>
      <c r="G68" s="24" t="n">
        <f aca="false">F70*Assumptions!$B$64</f>
        <v>708300</v>
      </c>
      <c r="H68" s="24" t="n">
        <f aca="false">G70*Assumptions!$B$64</f>
        <v>759120.525</v>
      </c>
      <c r="I68" s="24" t="n">
        <f aca="false">H70*Assumptions!$B$64</f>
        <v>809912.0097</v>
      </c>
      <c r="J68" s="24" t="n">
        <f aca="false">I70*Assumptions!$B$64</f>
        <v>866475.254025</v>
      </c>
    </row>
    <row r="69" customFormat="false" ht="15" hidden="false" customHeight="true" outlineLevel="0" collapsed="false">
      <c r="A69" s="15" t="s">
        <v>156</v>
      </c>
      <c r="G69" s="24" t="n">
        <f aca="false">IF(2026&gt;=2027,Assumptions!$B$65/Assumptions!$B$66,0)</f>
        <v>0</v>
      </c>
      <c r="H69" s="24" t="n">
        <f aca="false">IF(2027&gt;=2027,Assumptions!$B$65/Assumptions!$B$66,0)</f>
        <v>500000</v>
      </c>
      <c r="I69" s="24" t="n">
        <f aca="false">IF(2028&gt;=2027,Assumptions!$B$65/Assumptions!$B$66,0)</f>
        <v>500000</v>
      </c>
      <c r="J69" s="24" t="n">
        <f aca="false">IF(2029&gt;=2027,Assumptions!$B$65/Assumptions!$B$66,0)</f>
        <v>500000</v>
      </c>
    </row>
    <row r="70" customFormat="false" ht="15" hidden="false" customHeight="true" outlineLevel="0" collapsed="false">
      <c r="A70" s="15" t="s">
        <v>157</v>
      </c>
      <c r="F70" s="26" t="n">
        <f aca="false">F26</f>
        <v>9000000</v>
      </c>
      <c r="G70" s="26" t="n">
        <f aca="false">F70+G66</f>
        <v>9645750</v>
      </c>
      <c r="H70" s="26" t="n">
        <f aca="false">G70+H66</f>
        <v>10291131</v>
      </c>
      <c r="I70" s="26" t="n">
        <f aca="false">H70+I66</f>
        <v>11009850.75</v>
      </c>
      <c r="J70" s="26" t="n">
        <f aca="false">I70+J66</f>
        <v>11757319.29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3"/>
    <col collapsed="false" customWidth="true" hidden="false" outlineLevel="0" max="10" min="4" style="1" width="14"/>
  </cols>
  <sheetData>
    <row r="1" customFormat="false" ht="17.25" hidden="false" customHeight="true" outlineLevel="0" collapsed="false">
      <c r="A1" s="13" t="s">
        <v>158</v>
      </c>
    </row>
    <row r="2" customFormat="false" ht="15" hidden="false" customHeight="true" outlineLevel="0" collapsed="false">
      <c r="A2" s="4" t="s">
        <v>159</v>
      </c>
    </row>
    <row r="3" customFormat="false" ht="15" hidden="false" customHeight="true" outlineLevel="0" collapsed="false">
      <c r="A3" s="6" t="s">
        <v>160</v>
      </c>
      <c r="B3" s="7"/>
      <c r="C3" s="7"/>
      <c r="D3" s="7" t="s">
        <v>93</v>
      </c>
      <c r="E3" s="7" t="s">
        <v>94</v>
      </c>
      <c r="F3" s="7" t="s">
        <v>95</v>
      </c>
      <c r="G3" s="7" t="s">
        <v>34</v>
      </c>
      <c r="H3" s="7" t="s">
        <v>35</v>
      </c>
      <c r="I3" s="7" t="s">
        <v>36</v>
      </c>
      <c r="J3" s="7" t="s">
        <v>37</v>
      </c>
    </row>
    <row r="4" customFormat="false" ht="15" hidden="false" customHeight="true" outlineLevel="0" collapsed="false">
      <c r="A4" s="15" t="s">
        <v>161</v>
      </c>
      <c r="G4" s="26" t="n">
        <f aca="false">F6</f>
        <v>1840000</v>
      </c>
      <c r="H4" s="26" t="n">
        <f aca="false">G6</f>
        <v>1280000</v>
      </c>
      <c r="I4" s="26" t="n">
        <f aca="false">H6</f>
        <v>695000</v>
      </c>
      <c r="J4" s="26" t="n">
        <f aca="false">I6</f>
        <v>85000</v>
      </c>
    </row>
    <row r="5" customFormat="false" ht="15" hidden="false" customHeight="true" outlineLevel="0" collapsed="false">
      <c r="A5" s="15" t="s">
        <v>89</v>
      </c>
      <c r="G5" s="24" t="n">
        <f aca="false">MIN(G4,Assumptions!G81)</f>
        <v>560000</v>
      </c>
      <c r="H5" s="24" t="n">
        <f aca="false">MIN(H4,Assumptions!H81)</f>
        <v>585000</v>
      </c>
      <c r="I5" s="24" t="n">
        <f aca="false">MIN(I4,Assumptions!I81)</f>
        <v>610000</v>
      </c>
      <c r="J5" s="24" t="n">
        <f aca="false">MIN(J4,Assumptions!J81)</f>
        <v>85000</v>
      </c>
    </row>
    <row r="6" customFormat="false" ht="15" hidden="false" customHeight="true" outlineLevel="0" collapsed="false">
      <c r="A6" s="8" t="s">
        <v>162</v>
      </c>
      <c r="F6" s="29" t="n">
        <f aca="false">Model!F33+Model!F37</f>
        <v>1840000</v>
      </c>
      <c r="G6" s="29" t="n">
        <f aca="false">G4-G5</f>
        <v>1280000</v>
      </c>
      <c r="H6" s="29" t="n">
        <f aca="false">H4-H5</f>
        <v>695000</v>
      </c>
      <c r="I6" s="29" t="n">
        <f aca="false">I4-I5</f>
        <v>85000</v>
      </c>
      <c r="J6" s="29" t="n">
        <f aca="false">J4-J5</f>
        <v>0</v>
      </c>
    </row>
    <row r="7" customFormat="false" ht="15" hidden="false" customHeight="true" outlineLevel="0" collapsed="false">
      <c r="A7" s="15" t="s">
        <v>163</v>
      </c>
      <c r="G7" s="24" t="n">
        <f aca="false">G4*Assumptions!$B$72</f>
        <v>117760</v>
      </c>
      <c r="H7" s="24" t="n">
        <f aca="false">H4*Assumptions!$B$72</f>
        <v>81920</v>
      </c>
      <c r="I7" s="24" t="n">
        <f aca="false">I4*Assumptions!$B$72</f>
        <v>44480</v>
      </c>
      <c r="J7" s="24" t="n">
        <f aca="false">J4*Assumptions!$B$72</f>
        <v>5440</v>
      </c>
    </row>
    <row r="8" customFormat="false" ht="15" hidden="false" customHeight="true" outlineLevel="0" collapsed="false">
      <c r="A8" s="6" t="s">
        <v>71</v>
      </c>
      <c r="B8" s="7"/>
      <c r="C8" s="7"/>
      <c r="D8" s="7" t="s">
        <v>93</v>
      </c>
      <c r="E8" s="7" t="s">
        <v>94</v>
      </c>
      <c r="F8" s="7" t="s">
        <v>95</v>
      </c>
      <c r="G8" s="7" t="s">
        <v>34</v>
      </c>
      <c r="H8" s="7" t="s">
        <v>35</v>
      </c>
      <c r="I8" s="7" t="s">
        <v>36</v>
      </c>
      <c r="J8" s="7" t="s">
        <v>37</v>
      </c>
    </row>
    <row r="9" customFormat="false" ht="15" hidden="false" customHeight="true" outlineLevel="0" collapsed="false">
      <c r="A9" s="15" t="s">
        <v>164</v>
      </c>
      <c r="G9" s="24" t="n">
        <f aca="false">IF(2026=2027,Assumptions!$B$68,0)</f>
        <v>0</v>
      </c>
      <c r="H9" s="24" t="n">
        <f aca="false">IF(2027=2027,Assumptions!$B$68,0)</f>
        <v>2800000</v>
      </c>
      <c r="I9" s="24" t="n">
        <f aca="false">IF(2028=2027,Assumptions!$B$68,0)</f>
        <v>0</v>
      </c>
      <c r="J9" s="24" t="n">
        <f aca="false">IF(2029=2027,Assumptions!$B$68,0)</f>
        <v>0</v>
      </c>
    </row>
    <row r="10" customFormat="false" ht="15" hidden="false" customHeight="true" outlineLevel="0" collapsed="false">
      <c r="A10" s="15" t="s">
        <v>165</v>
      </c>
      <c r="G10" s="24" t="n">
        <f aca="false">IF(0&gt;=1,-CUMPRINC(Assumptions!$B$69/12,Assumptions!$B$70,Assumptions!$B$68,(0-1)*12+1,0*12,0),0)</f>
        <v>0</v>
      </c>
      <c r="H10" s="24" t="n">
        <f aca="false">IF(1&gt;=1,-CUMPRINC(Assumptions!$B$69/12,Assumptions!$B$70,Assumptions!$B$68,(1-1)*12+1,1*12,0),0)</f>
        <v>318681.529093266</v>
      </c>
      <c r="I10" s="24" t="n">
        <f aca="false">IF(2&gt;=1,-CUMPRINC(Assumptions!$B$69/12,Assumptions!$B$70,Assumptions!$B$68,(2-1)*12+1,2*12,0),0)</f>
        <v>342569.353933723</v>
      </c>
      <c r="J10" s="24" t="n">
        <f aca="false">IF(3&gt;=1,-CUMPRINC(Assumptions!$B$69/12,Assumptions!$B$70,Assumptions!$B$68,(3-1)*12+1,3*12,0),0)</f>
        <v>368247.769453319</v>
      </c>
    </row>
    <row r="11" customFormat="false" ht="15" hidden="false" customHeight="true" outlineLevel="0" collapsed="false">
      <c r="A11" s="8" t="s">
        <v>162</v>
      </c>
      <c r="F11" s="21" t="n">
        <v>0</v>
      </c>
      <c r="G11" s="29" t="n">
        <f aca="false">F11+G9-G10</f>
        <v>0</v>
      </c>
      <c r="H11" s="29" t="n">
        <f aca="false">G11+H9-H10</f>
        <v>2481318.47090673</v>
      </c>
      <c r="I11" s="29" t="n">
        <f aca="false">H11+I9-I10</f>
        <v>2138749.11697301</v>
      </c>
      <c r="J11" s="29" t="n">
        <f aca="false">I11+J9-J10</f>
        <v>1770501.34751969</v>
      </c>
    </row>
    <row r="12" customFormat="false" ht="15" hidden="false" customHeight="true" outlineLevel="0" collapsed="false">
      <c r="A12" s="8" t="s">
        <v>166</v>
      </c>
      <c r="G12" s="29" t="n">
        <f aca="false">G6+G11</f>
        <v>1280000</v>
      </c>
      <c r="H12" s="29" t="n">
        <f aca="false">H6+H11</f>
        <v>3176318.47090673</v>
      </c>
      <c r="I12" s="29" t="n">
        <f aca="false">I6+I11</f>
        <v>2223749.11697301</v>
      </c>
      <c r="J12" s="29" t="n">
        <f aca="false">J6+J11</f>
        <v>1770501.34751969</v>
      </c>
    </row>
    <row r="13" customFormat="false" ht="15" hidden="false" customHeight="true" outlineLevel="0" collapsed="false">
      <c r="A13" s="15" t="s">
        <v>167</v>
      </c>
      <c r="G13" s="24" t="n">
        <f aca="false">MIN(G6,Assumptions!H81)+IF(0&gt;=1,-CUMPRINC(Assumptions!$B$69/12,Assumptions!$B$70,Assumptions!$B$68,(1-1)*12+1,1*12,0),0)</f>
        <v>585000</v>
      </c>
      <c r="H13" s="24" t="n">
        <f aca="false">MIN(H6,Assumptions!I81)+IF(1&gt;=1,-CUMPRINC(Assumptions!$B$69/12,Assumptions!$B$70,Assumptions!$B$68,(2-1)*12+1,2*12,0),0)</f>
        <v>952569.353933723</v>
      </c>
      <c r="I13" s="24" t="n">
        <f aca="false">MIN(I6,Assumptions!J81)+IF(2&gt;=1,-CUMPRINC(Assumptions!$B$69/12,Assumptions!$B$70,Assumptions!$B$68,(3-1)*12+1,3*12,0),0)</f>
        <v>453247.769453319</v>
      </c>
      <c r="J13" s="24" t="n">
        <f aca="false">MIN(J6,0)+IF(3&gt;=1,-CUMPRINC(Assumptions!$B$69/12,Assumptions!$B$70,Assumptions!$B$68,(4-1)*12+1,4*12,0),0)</f>
        <v>395850.995280742</v>
      </c>
    </row>
    <row r="14" customFormat="false" ht="15" hidden="false" customHeight="true" outlineLevel="0" collapsed="false">
      <c r="A14" s="15" t="s">
        <v>163</v>
      </c>
      <c r="G14" s="24" t="n">
        <f aca="false">IF(0&gt;=1,-CUMIPMT(Assumptions!$B$69/12,Assumptions!$B$70,Assumptions!$B$68,(0-1)*12+1,0*12,0),0)</f>
        <v>0</v>
      </c>
      <c r="H14" s="24" t="n">
        <f aca="false">IF(1&gt;=1,-CUMIPMT(Assumptions!$B$69/12,Assumptions!$B$70,Assumptions!$B$68,(1-1)*12+1,1*12,0),0)</f>
        <v>192548.668951333</v>
      </c>
      <c r="I14" s="24" t="n">
        <f aca="false">IF(2&gt;=1,-CUMIPMT(Assumptions!$B$69/12,Assumptions!$B$70,Assumptions!$B$68,(2-1)*12+1,2*12,0),0)</f>
        <v>168660.844110876</v>
      </c>
      <c r="J14" s="24" t="n">
        <f aca="false">IF(3&gt;=1,-CUMIPMT(Assumptions!$B$69/12,Assumptions!$B$70,Assumptions!$B$68,(3-1)*12+1,3*12,0),0)</f>
        <v>142982.42859128</v>
      </c>
    </row>
    <row r="15" customFormat="false" ht="15" hidden="false" customHeight="true" outlineLevel="0" collapsed="false">
      <c r="A15" s="6" t="s">
        <v>121</v>
      </c>
      <c r="B15" s="7"/>
      <c r="C15" s="7"/>
      <c r="D15" s="7" t="s">
        <v>93</v>
      </c>
      <c r="E15" s="7" t="s">
        <v>94</v>
      </c>
      <c r="F15" s="7" t="s">
        <v>95</v>
      </c>
      <c r="G15" s="7" t="s">
        <v>34</v>
      </c>
      <c r="H15" s="7" t="s">
        <v>35</v>
      </c>
      <c r="I15" s="7" t="s">
        <v>36</v>
      </c>
      <c r="J15" s="7" t="s">
        <v>37</v>
      </c>
    </row>
    <row r="16" customFormat="false" ht="15" hidden="false" customHeight="true" outlineLevel="0" collapsed="false">
      <c r="A16" s="15" t="s">
        <v>161</v>
      </c>
      <c r="G16" s="26" t="n">
        <f aca="false">F18</f>
        <v>780000</v>
      </c>
      <c r="H16" s="26" t="n">
        <f aca="false">G18</f>
        <v>844437.369863014</v>
      </c>
      <c r="I16" s="26" t="n">
        <f aca="false">H18</f>
        <v>483578.557985678</v>
      </c>
      <c r="J16" s="26" t="n">
        <f aca="false">I18</f>
        <v>126922.410235395</v>
      </c>
    </row>
    <row r="17" customFormat="false" ht="15" hidden="false" customHeight="true" outlineLevel="0" collapsed="false">
      <c r="A17" s="15" t="s">
        <v>168</v>
      </c>
      <c r="G17" s="24" t="n">
        <f aca="false">MIN(Assumptions!$B$74-G16,MAX(Assumptions!$B$75-G20,-G16))</f>
        <v>64437.3698630137</v>
      </c>
      <c r="H17" s="24" t="n">
        <f aca="false">MIN(Assumptions!$B$74-H16,MAX(Assumptions!$B$75-H20,-H16))</f>
        <v>-360858.811877336</v>
      </c>
      <c r="I17" s="24" t="n">
        <f aca="false">MIN(Assumptions!$B$74-I16,MAX(Assumptions!$B$75-I20,-I16))</f>
        <v>-356656.147750282</v>
      </c>
      <c r="J17" s="24" t="n">
        <f aca="false">MIN(Assumptions!$B$74-J16,MAX(Assumptions!$B$75-J20,-J16))</f>
        <v>-126922.410235395</v>
      </c>
    </row>
    <row r="18" customFormat="false" ht="15" hidden="false" customHeight="true" outlineLevel="0" collapsed="false">
      <c r="A18" s="8" t="s">
        <v>162</v>
      </c>
      <c r="F18" s="29" t="n">
        <f aca="false">Model!F32</f>
        <v>780000</v>
      </c>
      <c r="G18" s="29" t="n">
        <f aca="false">G16+G17</f>
        <v>844437.369863014</v>
      </c>
      <c r="H18" s="29" t="n">
        <f aca="false">H16+H17</f>
        <v>483578.557985678</v>
      </c>
      <c r="I18" s="29" t="n">
        <f aca="false">I16+I17</f>
        <v>126922.410235395</v>
      </c>
      <c r="J18" s="29" t="n">
        <f aca="false">J16+J17</f>
        <v>0</v>
      </c>
    </row>
    <row r="19" customFormat="false" ht="15" hidden="false" customHeight="true" outlineLevel="0" collapsed="false">
      <c r="A19" s="15" t="s">
        <v>169</v>
      </c>
      <c r="G19" s="24" t="n">
        <f aca="false">Assumptions!$B$74-G18</f>
        <v>655562.630136986</v>
      </c>
      <c r="H19" s="24" t="n">
        <f aca="false">Assumptions!$B$74-H18</f>
        <v>1016421.44201432</v>
      </c>
      <c r="I19" s="24" t="n">
        <f aca="false">Assumptions!$B$74-I18</f>
        <v>1373077.5897646</v>
      </c>
      <c r="J19" s="24" t="n">
        <f aca="false">Assumptions!$B$74-J18</f>
        <v>1500000</v>
      </c>
    </row>
    <row r="20" customFormat="false" ht="15" hidden="false" customHeight="true" outlineLevel="0" collapsed="false">
      <c r="A20" s="15" t="s">
        <v>170</v>
      </c>
      <c r="G20" s="24" t="n">
        <f aca="false">Model!F21+Model!G51+Model!G55+Model!G56+Model!G57+Model!G59+Model!G60</f>
        <v>435562.630136986</v>
      </c>
      <c r="H20" s="24" t="n">
        <f aca="false">Model!G21+Model!H51+Model!H55+Model!H56+Model!H57+Model!H59+Model!H60</f>
        <v>860858.811877336</v>
      </c>
      <c r="I20" s="24" t="n">
        <f aca="false">Model!H21+Model!I51+Model!I55+Model!I56+Model!I57+Model!I59+Model!I60</f>
        <v>856656.147750282</v>
      </c>
      <c r="J20" s="24" t="n">
        <f aca="false">Model!I21+Model!J51+Model!J55+Model!J56+Model!J57+Model!J59+Model!J60</f>
        <v>1517480.64431997</v>
      </c>
    </row>
    <row r="21" customFormat="false" ht="15" hidden="false" customHeight="true" outlineLevel="0" collapsed="false">
      <c r="A21" s="8" t="s">
        <v>171</v>
      </c>
      <c r="G21" s="29" t="n">
        <f aca="false">G20+G17</f>
        <v>500000</v>
      </c>
      <c r="H21" s="29" t="n">
        <f aca="false">H20+H17</f>
        <v>500000</v>
      </c>
      <c r="I21" s="29" t="n">
        <f aca="false">I20+I17</f>
        <v>500000</v>
      </c>
      <c r="J21" s="29" t="n">
        <f aca="false">J20+J17</f>
        <v>1390558.23408458</v>
      </c>
    </row>
    <row r="22" customFormat="false" ht="15" hidden="false" customHeight="true" outlineLevel="0" collapsed="false">
      <c r="A22" s="15" t="s">
        <v>172</v>
      </c>
      <c r="G22" s="24" t="n">
        <f aca="false">G16*Assumptions!$B$73</f>
        <v>52650</v>
      </c>
      <c r="H22" s="24" t="n">
        <f aca="false">H16*Assumptions!$B$73</f>
        <v>56999.5224657534</v>
      </c>
      <c r="I22" s="24" t="n">
        <f aca="false">I16*Assumptions!$B$73</f>
        <v>32641.5526640332</v>
      </c>
      <c r="J22" s="24" t="n">
        <f aca="false">J16*Assumptions!$B$73</f>
        <v>8567.26269088918</v>
      </c>
    </row>
    <row r="23" customFormat="false" ht="15" hidden="false" customHeight="true" outlineLevel="0" collapsed="false">
      <c r="A23" s="8" t="s">
        <v>173</v>
      </c>
      <c r="G23" s="30" t="n">
        <f aca="false">G21+G19</f>
        <v>1155562.63013699</v>
      </c>
      <c r="H23" s="30" t="n">
        <f aca="false">H21+H19</f>
        <v>1516421.44201432</v>
      </c>
      <c r="I23" s="30" t="n">
        <f aca="false">I21+I19</f>
        <v>1873077.5897646</v>
      </c>
      <c r="J23" s="30" t="n">
        <f aca="false">J21+J19</f>
        <v>2890558.23408458</v>
      </c>
    </row>
    <row r="24" customFormat="false" ht="15" hidden="false" customHeight="true" outlineLevel="0" collapsed="false">
      <c r="A24" s="15" t="s">
        <v>174</v>
      </c>
      <c r="G24" s="31" t="str">
        <f aca="false">IF(G21&lt;Assumptions!$B$75-1,"SHORTFALL","OK")</f>
        <v>OK</v>
      </c>
      <c r="H24" s="31" t="str">
        <f aca="false">IF(H21&lt;Assumptions!$B$75-1,"SHORTFALL","OK")</f>
        <v>OK</v>
      </c>
      <c r="I24" s="31" t="str">
        <f aca="false">IF(I21&lt;Assumptions!$B$75-1,"SHORTFALL","OK")</f>
        <v>OK</v>
      </c>
      <c r="J24" s="31" t="str">
        <f aca="false">IF(J21&lt;Assumptions!$B$75-1,"SHORTFALL","OK")</f>
        <v>OK</v>
      </c>
    </row>
    <row r="25" customFormat="false" ht="15" hidden="false" customHeight="true" outlineLevel="0" collapsed="false">
      <c r="A25" s="8" t="s">
        <v>175</v>
      </c>
      <c r="G25" s="25" t="n">
        <f aca="false">G7+G14+G22</f>
        <v>170410</v>
      </c>
      <c r="H25" s="25" t="n">
        <f aca="false">H7+H14+H22</f>
        <v>331468.191417086</v>
      </c>
      <c r="I25" s="25" t="n">
        <f aca="false">I7+I14+I22</f>
        <v>245782.396774909</v>
      </c>
      <c r="J25" s="25" t="n">
        <f aca="false">J7+J14+J22</f>
        <v>156989.691282169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3"/>
    <col collapsed="false" customWidth="true" hidden="false" outlineLevel="0" max="10" min="4" style="1" width="14"/>
  </cols>
  <sheetData>
    <row r="1" customFormat="false" ht="17.25" hidden="false" customHeight="true" outlineLevel="0" collapsed="false">
      <c r="A1" s="13" t="s">
        <v>176</v>
      </c>
    </row>
    <row r="2" customFormat="false" ht="15" hidden="false" customHeight="true" outlineLevel="0" collapsed="false">
      <c r="A2" s="4" t="s">
        <v>177</v>
      </c>
    </row>
    <row r="4" customFormat="false" ht="15" hidden="false" customHeight="true" outlineLevel="0" collapsed="false">
      <c r="A4" s="6" t="s">
        <v>178</v>
      </c>
      <c r="B4" s="7"/>
      <c r="C4" s="7"/>
      <c r="D4" s="7" t="s">
        <v>93</v>
      </c>
      <c r="E4" s="7" t="s">
        <v>94</v>
      </c>
      <c r="F4" s="7" t="s">
        <v>95</v>
      </c>
      <c r="G4" s="7" t="s">
        <v>34</v>
      </c>
      <c r="H4" s="7" t="s">
        <v>35</v>
      </c>
      <c r="I4" s="7" t="s">
        <v>36</v>
      </c>
      <c r="J4" s="7" t="s">
        <v>37</v>
      </c>
    </row>
    <row r="5" customFormat="false" ht="15" hidden="false" customHeight="true" outlineLevel="0" collapsed="false">
      <c r="A5" s="15" t="s">
        <v>132</v>
      </c>
      <c r="G5" s="24" t="n">
        <f aca="false">Model!G15</f>
        <v>1522790</v>
      </c>
      <c r="H5" s="24" t="n">
        <f aca="false">Model!H15</f>
        <v>1299415.28358291</v>
      </c>
      <c r="I5" s="24" t="n">
        <f aca="false">Model!I15</f>
        <v>1549890.34352509</v>
      </c>
      <c r="J5" s="24" t="n">
        <f aca="false">Model!J15</f>
        <v>1753935.82269283</v>
      </c>
    </row>
    <row r="6" customFormat="false" ht="15" hidden="false" customHeight="true" outlineLevel="0" collapsed="false">
      <c r="A6" s="15" t="s">
        <v>133</v>
      </c>
      <c r="G6" s="24" t="n">
        <f aca="false">Model!G11</f>
        <v>708300</v>
      </c>
      <c r="H6" s="24" t="n">
        <f aca="false">Model!H11</f>
        <v>1259120.525</v>
      </c>
      <c r="I6" s="24" t="n">
        <f aca="false">Model!I11</f>
        <v>1309912.0097</v>
      </c>
      <c r="J6" s="24" t="n">
        <f aca="false">Model!J11</f>
        <v>1366475.254025</v>
      </c>
    </row>
    <row r="7" customFormat="false" ht="15" hidden="false" customHeight="true" outlineLevel="0" collapsed="false">
      <c r="A7" s="15" t="s">
        <v>179</v>
      </c>
      <c r="G7" s="24" t="n">
        <f aca="false">Model!G13</f>
        <v>170410</v>
      </c>
      <c r="H7" s="24" t="n">
        <f aca="false">Model!H13</f>
        <v>331468.191417086</v>
      </c>
      <c r="I7" s="24" t="n">
        <f aca="false">Model!I13</f>
        <v>245782.396774909</v>
      </c>
      <c r="J7" s="24" t="n">
        <f aca="false">Model!J13</f>
        <v>156989.691282169</v>
      </c>
    </row>
    <row r="8" customFormat="false" ht="15" hidden="false" customHeight="true" outlineLevel="0" collapsed="false">
      <c r="A8" s="15" t="s">
        <v>180</v>
      </c>
      <c r="G8" s="24" t="n">
        <f aca="false">-Model!G16</f>
        <v>-685255.5</v>
      </c>
      <c r="H8" s="24" t="n">
        <f aca="false">-Model!H16</f>
        <v>-584736.877612311</v>
      </c>
      <c r="I8" s="24" t="n">
        <f aca="false">-Model!I16</f>
        <v>-697450.654586291</v>
      </c>
      <c r="J8" s="24" t="n">
        <f aca="false">-Model!J16</f>
        <v>-789271.120211774</v>
      </c>
    </row>
    <row r="9" customFormat="false" ht="15" hidden="false" customHeight="true" outlineLevel="0" collapsed="false">
      <c r="A9" s="8" t="s">
        <v>181</v>
      </c>
      <c r="G9" s="29" t="n">
        <f aca="false">SUM(G5:G8)</f>
        <v>1716244.5</v>
      </c>
      <c r="H9" s="29" t="n">
        <f aca="false">SUM(H5:H8)</f>
        <v>2305267.12238769</v>
      </c>
      <c r="I9" s="29" t="n">
        <f aca="false">SUM(I5:I8)</f>
        <v>2408134.09541371</v>
      </c>
      <c r="J9" s="29" t="n">
        <f aca="false">SUM(J5:J8)</f>
        <v>2488129.64778823</v>
      </c>
    </row>
    <row r="10" customFormat="false" ht="15" hidden="false" customHeight="true" outlineLevel="0" collapsed="false">
      <c r="A10" s="15" t="s">
        <v>182</v>
      </c>
      <c r="G10" s="24" t="n">
        <f aca="false">Debt_Schedule!G5+Debt_Schedule!G10</f>
        <v>560000</v>
      </c>
      <c r="H10" s="24" t="n">
        <f aca="false">Debt_Schedule!H5+Debt_Schedule!H10</f>
        <v>903681.529093266</v>
      </c>
      <c r="I10" s="24" t="n">
        <f aca="false">Debt_Schedule!I5+Debt_Schedule!I10</f>
        <v>952569.353933723</v>
      </c>
      <c r="J10" s="24" t="n">
        <f aca="false">Debt_Schedule!J5+Debt_Schedule!J10</f>
        <v>453247.769453319</v>
      </c>
    </row>
    <row r="11" customFormat="false" ht="15" hidden="false" customHeight="true" outlineLevel="0" collapsed="false">
      <c r="A11" s="15" t="s">
        <v>104</v>
      </c>
      <c r="G11" s="24" t="n">
        <f aca="false">Model!G13</f>
        <v>170410</v>
      </c>
      <c r="H11" s="24" t="n">
        <f aca="false">Model!H13</f>
        <v>331468.191417086</v>
      </c>
      <c r="I11" s="24" t="n">
        <f aca="false">Model!I13</f>
        <v>245782.396774909</v>
      </c>
      <c r="J11" s="24" t="n">
        <f aca="false">Model!J13</f>
        <v>156989.691282169</v>
      </c>
    </row>
    <row r="12" customFormat="false" ht="15" hidden="false" customHeight="true" outlineLevel="0" collapsed="false">
      <c r="A12" s="8" t="s">
        <v>183</v>
      </c>
      <c r="G12" s="29" t="n">
        <f aca="false">G10+G11</f>
        <v>730410</v>
      </c>
      <c r="H12" s="29" t="n">
        <f aca="false">H10+H11</f>
        <v>1235149.72051035</v>
      </c>
      <c r="I12" s="29" t="n">
        <f aca="false">I10+I11</f>
        <v>1198351.75070863</v>
      </c>
      <c r="J12" s="29" t="n">
        <f aca="false">J10+J11</f>
        <v>610237.460735488</v>
      </c>
    </row>
    <row r="13" customFormat="false" ht="15" hidden="false" customHeight="true" outlineLevel="0" collapsed="false">
      <c r="A13" s="8" t="s">
        <v>184</v>
      </c>
      <c r="G13" s="32" t="n">
        <f aca="false">G9/G12</f>
        <v>2.34970016839857</v>
      </c>
      <c r="H13" s="32" t="n">
        <f aca="false">H9/H12</f>
        <v>1.86638679028739</v>
      </c>
      <c r="I13" s="32" t="n">
        <f aca="false">I9/I12</f>
        <v>2.00953859665135</v>
      </c>
      <c r="J13" s="32" t="n">
        <f aca="false">J9/J12</f>
        <v>4.07731384564529</v>
      </c>
    </row>
    <row r="14" customFormat="false" ht="15" hidden="false" customHeight="true" outlineLevel="0" collapsed="false">
      <c r="A14" s="15" t="s">
        <v>185</v>
      </c>
      <c r="G14" s="33" t="n">
        <f aca="false">Assumptions!$B$76</f>
        <v>1.25</v>
      </c>
      <c r="H14" s="33" t="n">
        <f aca="false">Assumptions!$B$76</f>
        <v>1.25</v>
      </c>
      <c r="I14" s="33" t="n">
        <f aca="false">Assumptions!$B$76</f>
        <v>1.25</v>
      </c>
      <c r="J14" s="33" t="n">
        <f aca="false">Assumptions!$B$76</f>
        <v>1.25</v>
      </c>
    </row>
    <row r="15" customFormat="false" ht="15" hidden="false" customHeight="true" outlineLevel="0" collapsed="false">
      <c r="A15" s="15" t="s">
        <v>186</v>
      </c>
      <c r="G15" s="34" t="str">
        <f aca="false">IF(G13&gt;=G14,"PASS","FAIL")</f>
        <v>PASS</v>
      </c>
      <c r="H15" s="34" t="str">
        <f aca="false">IF(H13&gt;=H14,"PASS","FAIL")</f>
        <v>PASS</v>
      </c>
      <c r="I15" s="34" t="str">
        <f aca="false">IF(I13&gt;=I14,"PASS","FAIL")</f>
        <v>PASS</v>
      </c>
      <c r="J15" s="34" t="str">
        <f aca="false">IF(J13&gt;=J14,"PASS","FAIL")</f>
        <v>PASS</v>
      </c>
    </row>
    <row r="16" customFormat="false" ht="15" hidden="false" customHeight="true" outlineLevel="0" collapsed="false">
      <c r="A16" s="15" t="s">
        <v>187</v>
      </c>
      <c r="G16" s="31" t="str">
        <f aca="false">IF(G13&lt;Assumptions!$B$78,"Tax distributions only","None")</f>
        <v>None</v>
      </c>
      <c r="H16" s="31" t="str">
        <f aca="false">IF(H13&lt;Assumptions!$B$78,"Tax distributions only","None")</f>
        <v>None</v>
      </c>
      <c r="I16" s="31" t="str">
        <f aca="false">IF(I13&lt;Assumptions!$B$78,"Tax distributions only","None")</f>
        <v>None</v>
      </c>
      <c r="J16" s="31" t="str">
        <f aca="false">IF(J13&lt;Assumptions!$B$78,"Tax distributions only","None")</f>
        <v>None</v>
      </c>
    </row>
    <row r="18" customFormat="false" ht="15" hidden="false" customHeight="true" outlineLevel="0" collapsed="false">
      <c r="A18" s="6" t="s">
        <v>188</v>
      </c>
      <c r="B18" s="7"/>
      <c r="C18" s="7"/>
      <c r="D18" s="7" t="s">
        <v>93</v>
      </c>
      <c r="E18" s="7" t="s">
        <v>94</v>
      </c>
      <c r="F18" s="7" t="s">
        <v>95</v>
      </c>
      <c r="G18" s="7" t="s">
        <v>34</v>
      </c>
      <c r="H18" s="7" t="s">
        <v>35</v>
      </c>
      <c r="I18" s="7" t="s">
        <v>36</v>
      </c>
      <c r="J18" s="7" t="s">
        <v>37</v>
      </c>
    </row>
    <row r="19" customFormat="false" ht="15" hidden="false" customHeight="true" outlineLevel="0" collapsed="false">
      <c r="A19" s="15" t="s">
        <v>189</v>
      </c>
      <c r="G19" s="24" t="n">
        <f aca="false">Debt_Schedule!G12+Debt_Schedule!G18</f>
        <v>2124437.36986301</v>
      </c>
      <c r="H19" s="24" t="n">
        <f aca="false">Debt_Schedule!H12+Debt_Schedule!H18</f>
        <v>3659897.02889241</v>
      </c>
      <c r="I19" s="24" t="n">
        <f aca="false">Debt_Schedule!I12+Debt_Schedule!I18</f>
        <v>2350671.52720841</v>
      </c>
      <c r="J19" s="24" t="n">
        <f aca="false">Debt_Schedule!J12+Debt_Schedule!J18</f>
        <v>1770501.34751969</v>
      </c>
    </row>
    <row r="20" customFormat="false" ht="15" hidden="false" customHeight="true" outlineLevel="0" collapsed="false">
      <c r="A20" s="15" t="s">
        <v>101</v>
      </c>
      <c r="G20" s="24" t="n">
        <f aca="false">Model!G10</f>
        <v>2401500</v>
      </c>
      <c r="H20" s="24" t="n">
        <f aca="false">Model!H10</f>
        <v>2890004</v>
      </c>
      <c r="I20" s="24" t="n">
        <f aca="false">Model!I10</f>
        <v>3105584.75</v>
      </c>
      <c r="J20" s="24" t="n">
        <f aca="false">Model!J10</f>
        <v>3277400.768</v>
      </c>
    </row>
    <row r="21" customFormat="false" ht="15" hidden="false" customHeight="true" outlineLevel="0" collapsed="false">
      <c r="A21" s="8" t="s">
        <v>190</v>
      </c>
      <c r="G21" s="32" t="n">
        <f aca="false">G19/G20</f>
        <v>0.884629344102858</v>
      </c>
      <c r="H21" s="32" t="n">
        <f aca="false">H19/H20</f>
        <v>1.2663986032173</v>
      </c>
      <c r="I21" s="32" t="n">
        <f aca="false">I19/I20</f>
        <v>0.756917526468536</v>
      </c>
      <c r="J21" s="32" t="n">
        <f aca="false">J19/J20</f>
        <v>0.540215088983494</v>
      </c>
    </row>
    <row r="22" customFormat="false" ht="15" hidden="false" customHeight="true" outlineLevel="0" collapsed="false">
      <c r="A22" s="15" t="s">
        <v>191</v>
      </c>
      <c r="G22" s="33" t="n">
        <f aca="false">Assumptions!$B$77</f>
        <v>3</v>
      </c>
      <c r="H22" s="33" t="n">
        <f aca="false">Assumptions!$B$77</f>
        <v>3</v>
      </c>
      <c r="I22" s="33" t="n">
        <f aca="false">Assumptions!$B$77</f>
        <v>3</v>
      </c>
      <c r="J22" s="33" t="n">
        <f aca="false">Assumptions!$B$77</f>
        <v>3</v>
      </c>
    </row>
    <row r="23" customFormat="false" ht="15" hidden="false" customHeight="true" outlineLevel="0" collapsed="false">
      <c r="A23" s="15" t="s">
        <v>186</v>
      </c>
      <c r="G23" s="34" t="str">
        <f aca="false">IF(G21&lt;=G22,"PASS","FAIL")</f>
        <v>PASS</v>
      </c>
      <c r="H23" s="34" t="str">
        <f aca="false">IF(H21&lt;=H22,"PASS","FAIL")</f>
        <v>PASS</v>
      </c>
      <c r="I23" s="34" t="str">
        <f aca="false">IF(I21&lt;=I22,"PASS","FAIL")</f>
        <v>PASS</v>
      </c>
      <c r="J23" s="34" t="str">
        <f aca="false">IF(J21&lt;=J22,"PASS","FAIL")</f>
        <v>PASS</v>
      </c>
    </row>
    <row r="25" customFormat="false" ht="15" hidden="false" customHeight="true" outlineLevel="0" collapsed="false">
      <c r="A25" s="6" t="s">
        <v>192</v>
      </c>
      <c r="B25" s="7"/>
      <c r="C25" s="7"/>
      <c r="D25" s="7" t="s">
        <v>93</v>
      </c>
      <c r="E25" s="7" t="s">
        <v>94</v>
      </c>
      <c r="F25" s="7" t="s">
        <v>95</v>
      </c>
      <c r="G25" s="7" t="s">
        <v>34</v>
      </c>
      <c r="H25" s="7" t="s">
        <v>35</v>
      </c>
      <c r="I25" s="7" t="s">
        <v>36</v>
      </c>
      <c r="J25" s="7" t="s">
        <v>37</v>
      </c>
    </row>
    <row r="26" customFormat="false" ht="15" hidden="false" customHeight="true" outlineLevel="0" collapsed="false">
      <c r="A26" s="15" t="s">
        <v>171</v>
      </c>
      <c r="G26" s="24" t="n">
        <f aca="false">Model!G21</f>
        <v>500000</v>
      </c>
      <c r="H26" s="24" t="n">
        <f aca="false">Model!H21</f>
        <v>500000</v>
      </c>
      <c r="I26" s="24" t="n">
        <f aca="false">Model!I21</f>
        <v>500000</v>
      </c>
      <c r="J26" s="24" t="n">
        <f aca="false">Model!J21</f>
        <v>1390558.23408458</v>
      </c>
    </row>
    <row r="27" customFormat="false" ht="15" hidden="false" customHeight="true" outlineLevel="0" collapsed="false">
      <c r="A27" s="15" t="s">
        <v>193</v>
      </c>
      <c r="G27" s="24" t="n">
        <f aca="false">Debt_Schedule!G19</f>
        <v>655562.630136986</v>
      </c>
      <c r="H27" s="24" t="n">
        <f aca="false">Debt_Schedule!H19</f>
        <v>1016421.44201432</v>
      </c>
      <c r="I27" s="24" t="n">
        <f aca="false">Debt_Schedule!I19</f>
        <v>1373077.5897646</v>
      </c>
      <c r="J27" s="24" t="n">
        <f aca="false">Debt_Schedule!J19</f>
        <v>1500000</v>
      </c>
    </row>
    <row r="28" customFormat="false" ht="15" hidden="false" customHeight="true" outlineLevel="0" collapsed="false">
      <c r="A28" s="8" t="s">
        <v>194</v>
      </c>
      <c r="G28" s="25" t="n">
        <f aca="false">G26+G27</f>
        <v>1155562.63013699</v>
      </c>
      <c r="H28" s="25" t="n">
        <f aca="false">H26+H27</f>
        <v>1516421.44201432</v>
      </c>
      <c r="I28" s="25" t="n">
        <f aca="false">I26+I27</f>
        <v>1873077.5897646</v>
      </c>
      <c r="J28" s="25" t="n">
        <f aca="false">J26+J27</f>
        <v>2890558.23408458</v>
      </c>
    </row>
  </sheetData>
  <conditionalFormatting sqref="G15:J1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G23:J23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conditionalFormatting sqref="G16:J16">
    <cfRule type="cellIs" priority="6" operator="equal" aboveAverage="0" equalAverage="0" bottom="0" percent="0" rank="0" text="" dxfId="2">
      <formula>"Tax distributions only"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  <col collapsed="false" customWidth="true" hidden="false" outlineLevel="0" max="5" min="5" style="1" width="3"/>
    <col collapsed="false" customWidth="true" hidden="false" outlineLevel="0" max="8" min="6" style="1" width="14"/>
  </cols>
  <sheetData>
    <row r="1" customFormat="false" ht="17.35" hidden="false" customHeight="false" outlineLevel="0" collapsed="false">
      <c r="A1" s="13" t="s">
        <v>195</v>
      </c>
    </row>
    <row r="2" customFormat="false" ht="15" hidden="false" customHeight="false" outlineLevel="0" collapsed="false">
      <c r="A2" s="4" t="s">
        <v>196</v>
      </c>
    </row>
    <row r="4" customFormat="false" ht="15" hidden="false" customHeight="false" outlineLevel="0" collapsed="false">
      <c r="A4" s="6" t="s">
        <v>35</v>
      </c>
      <c r="B4" s="7" t="s">
        <v>39</v>
      </c>
      <c r="C4" s="7" t="s">
        <v>41</v>
      </c>
      <c r="D4" s="7" t="s">
        <v>42</v>
      </c>
    </row>
    <row r="5" customFormat="false" ht="15" hidden="false" customHeight="false" outlineLevel="0" collapsed="false">
      <c r="A5" s="15" t="s">
        <v>96</v>
      </c>
      <c r="B5" s="26" t="n">
        <v>19557000</v>
      </c>
      <c r="C5" s="26" t="n">
        <v>20295000</v>
      </c>
      <c r="D5" s="26" t="n">
        <v>15682500</v>
      </c>
    </row>
    <row r="6" customFormat="false" ht="15" hidden="false" customHeight="false" outlineLevel="0" collapsed="false">
      <c r="A6" s="15" t="s">
        <v>44</v>
      </c>
      <c r="B6" s="16" t="n">
        <v>0.285</v>
      </c>
      <c r="C6" s="16" t="n">
        <v>0.289</v>
      </c>
      <c r="D6" s="16" t="n">
        <v>0.255</v>
      </c>
    </row>
    <row r="7" customFormat="false" ht="15" hidden="false" customHeight="false" outlineLevel="0" collapsed="false">
      <c r="A7" s="15" t="s">
        <v>101</v>
      </c>
      <c r="B7" s="26" t="n">
        <v>2890004</v>
      </c>
      <c r="C7" s="26" t="n">
        <v>3159005</v>
      </c>
      <c r="D7" s="26" t="n">
        <v>1610090</v>
      </c>
    </row>
    <row r="8" customFormat="false" ht="15" hidden="false" customHeight="false" outlineLevel="0" collapsed="false">
      <c r="A8" s="15" t="s">
        <v>132</v>
      </c>
      <c r="B8" s="26" t="n">
        <v>1299415.28358291</v>
      </c>
      <c r="C8" s="26" t="n">
        <v>1568416.28358291</v>
      </c>
      <c r="D8" s="26" t="n">
        <v>19501.2835829139</v>
      </c>
    </row>
    <row r="9" customFormat="false" ht="15" hidden="false" customHeight="false" outlineLevel="0" collapsed="false">
      <c r="A9" s="15" t="s">
        <v>149</v>
      </c>
      <c r="B9" s="26" t="n">
        <v>584736.877612311</v>
      </c>
      <c r="C9" s="26" t="n">
        <v>705787.32761231</v>
      </c>
      <c r="D9" s="26" t="n">
        <v>7800.51343316557</v>
      </c>
    </row>
    <row r="10" customFormat="false" ht="15" hidden="false" customHeight="false" outlineLevel="0" collapsed="false">
      <c r="A10" s="15" t="s">
        <v>171</v>
      </c>
      <c r="B10" s="26" t="n">
        <v>500000</v>
      </c>
      <c r="C10" s="26" t="n">
        <v>500000</v>
      </c>
      <c r="D10" s="26" t="n">
        <v>500000</v>
      </c>
    </row>
    <row r="11" customFormat="false" ht="15" hidden="false" customHeight="false" outlineLevel="0" collapsed="false">
      <c r="A11" s="15" t="s">
        <v>197</v>
      </c>
      <c r="B11" s="26" t="n">
        <v>483578.557985678</v>
      </c>
      <c r="C11" s="26" t="n">
        <v>406693.06086239</v>
      </c>
      <c r="D11" s="26" t="n">
        <v>879575.969902422</v>
      </c>
    </row>
    <row r="12" customFormat="false" ht="15" hidden="false" customHeight="false" outlineLevel="0" collapsed="false">
      <c r="A12" s="15" t="s">
        <v>198</v>
      </c>
      <c r="B12" s="26" t="n">
        <v>3659897.02889241</v>
      </c>
      <c r="C12" s="26" t="n">
        <v>3583011.53176913</v>
      </c>
      <c r="D12" s="26" t="n">
        <v>4055894.44080916</v>
      </c>
    </row>
    <row r="13" customFormat="false" ht="15" hidden="false" customHeight="false" outlineLevel="0" collapsed="false">
      <c r="A13" s="15" t="s">
        <v>199</v>
      </c>
      <c r="B13" s="35" t="n">
        <v>1.86638679028739</v>
      </c>
      <c r="C13" s="35" t="n">
        <v>1.98617028498702</v>
      </c>
      <c r="D13" s="35" t="n">
        <v>1.29724312766292</v>
      </c>
    </row>
    <row r="14" customFormat="false" ht="15" hidden="false" customHeight="false" outlineLevel="0" collapsed="false">
      <c r="A14" s="15" t="s">
        <v>200</v>
      </c>
      <c r="B14" s="35" t="n">
        <v>1.2663986032173</v>
      </c>
      <c r="C14" s="35" t="n">
        <v>1.13422154500203</v>
      </c>
      <c r="D14" s="35" t="n">
        <v>2.51904827730696</v>
      </c>
    </row>
    <row r="15" customFormat="false" ht="15" hidden="false" customHeight="false" outlineLevel="0" collapsed="false">
      <c r="A15" s="15" t="s">
        <v>173</v>
      </c>
      <c r="B15" s="26" t="n">
        <v>1516421.44201432</v>
      </c>
      <c r="C15" s="26" t="n">
        <v>1593306.93913761</v>
      </c>
      <c r="D15" s="26" t="n">
        <v>1120424.03009758</v>
      </c>
    </row>
    <row r="16" customFormat="false" ht="15" hidden="false" customHeight="false" outlineLevel="0" collapsed="false">
      <c r="A16" s="15" t="s">
        <v>201</v>
      </c>
      <c r="B16" s="36" t="s">
        <v>202</v>
      </c>
      <c r="C16" s="36" t="s">
        <v>202</v>
      </c>
      <c r="D16" s="36" t="s">
        <v>202</v>
      </c>
    </row>
    <row r="17" customFormat="false" ht="15" hidden="false" customHeight="false" outlineLevel="0" collapsed="false">
      <c r="A17" s="15" t="s">
        <v>187</v>
      </c>
      <c r="B17" s="36" t="s">
        <v>203</v>
      </c>
      <c r="C17" s="36" t="s">
        <v>203</v>
      </c>
      <c r="D17" s="36" t="s">
        <v>204</v>
      </c>
    </row>
    <row r="19" customFormat="false" ht="15" hidden="false" customHeight="false" outlineLevel="0" collapsed="false">
      <c r="A19" s="6" t="s">
        <v>36</v>
      </c>
      <c r="B19" s="7" t="s">
        <v>39</v>
      </c>
      <c r="C19" s="7" t="s">
        <v>41</v>
      </c>
      <c r="D19" s="7" t="s">
        <v>42</v>
      </c>
    </row>
    <row r="20" customFormat="false" ht="15" hidden="false" customHeight="false" outlineLevel="0" collapsed="false">
      <c r="A20" s="15" t="s">
        <v>96</v>
      </c>
      <c r="B20" s="26" t="n">
        <v>20534850</v>
      </c>
      <c r="C20" s="26" t="n">
        <v>21918600</v>
      </c>
      <c r="D20" s="26" t="n">
        <v>15212025</v>
      </c>
    </row>
    <row r="21" customFormat="false" ht="15" hidden="false" customHeight="false" outlineLevel="0" collapsed="false">
      <c r="A21" s="15" t="s">
        <v>44</v>
      </c>
      <c r="B21" s="16" t="n">
        <v>0.287</v>
      </c>
      <c r="C21" s="16" t="n">
        <v>0.292</v>
      </c>
      <c r="D21" s="16" t="n">
        <v>0.26</v>
      </c>
    </row>
    <row r="22" customFormat="false" ht="15" hidden="false" customHeight="false" outlineLevel="0" collapsed="false">
      <c r="A22" s="15" t="s">
        <v>101</v>
      </c>
      <c r="B22" s="26" t="n">
        <v>3105584.75</v>
      </c>
      <c r="C22" s="26" t="n">
        <v>3545008.4</v>
      </c>
      <c r="D22" s="26" t="n">
        <v>1669683.5</v>
      </c>
    </row>
    <row r="23" customFormat="false" ht="15" hidden="false" customHeight="false" outlineLevel="0" collapsed="false">
      <c r="A23" s="15" t="s">
        <v>132</v>
      </c>
      <c r="B23" s="26" t="n">
        <v>1549890.34352509</v>
      </c>
      <c r="C23" s="26" t="n">
        <v>1989392.67178091</v>
      </c>
      <c r="D23" s="26" t="n">
        <v>110898.07242071</v>
      </c>
    </row>
    <row r="24" customFormat="false" ht="15" hidden="false" customHeight="false" outlineLevel="0" collapsed="false">
      <c r="A24" s="15" t="s">
        <v>149</v>
      </c>
      <c r="B24" s="26" t="n">
        <v>697450.654586291</v>
      </c>
      <c r="C24" s="26" t="n">
        <v>895226.702301411</v>
      </c>
      <c r="D24" s="26" t="n">
        <v>44359.2289682842</v>
      </c>
    </row>
    <row r="25" customFormat="false" ht="15" hidden="false" customHeight="false" outlineLevel="0" collapsed="false">
      <c r="A25" s="15" t="s">
        <v>171</v>
      </c>
      <c r="B25" s="26" t="n">
        <v>500000</v>
      </c>
      <c r="C25" s="26" t="n">
        <v>605188.02398887</v>
      </c>
      <c r="D25" s="26" t="n">
        <v>500000</v>
      </c>
    </row>
    <row r="26" customFormat="false" ht="15" hidden="false" customHeight="false" outlineLevel="0" collapsed="false">
      <c r="A26" s="15" t="s">
        <v>197</v>
      </c>
      <c r="B26" s="26" t="n">
        <v>126922.410235395</v>
      </c>
      <c r="C26" s="26" t="n">
        <v>0</v>
      </c>
      <c r="D26" s="26" t="n">
        <v>601489.573654266</v>
      </c>
    </row>
    <row r="27" customFormat="false" ht="15" hidden="false" customHeight="false" outlineLevel="0" collapsed="false">
      <c r="A27" s="15" t="s">
        <v>198</v>
      </c>
      <c r="B27" s="26" t="n">
        <v>2350671.52720841</v>
      </c>
      <c r="C27" s="26" t="n">
        <v>2223749.11697301</v>
      </c>
      <c r="D27" s="26" t="n">
        <v>2825238.69062728</v>
      </c>
    </row>
    <row r="28" customFormat="false" ht="15" hidden="false" customHeight="false" outlineLevel="0" collapsed="false">
      <c r="A28" s="15" t="s">
        <v>199</v>
      </c>
      <c r="B28" s="35" t="n">
        <v>2.00953859665135</v>
      </c>
      <c r="C28" s="35" t="n">
        <v>2.22080634724016</v>
      </c>
      <c r="D28" s="35" t="n">
        <v>1.32670697433985</v>
      </c>
    </row>
    <row r="29" customFormat="false" ht="15" hidden="false" customHeight="false" outlineLevel="0" collapsed="false">
      <c r="A29" s="15" t="s">
        <v>200</v>
      </c>
      <c r="B29" s="35" t="n">
        <v>0.756917526468536</v>
      </c>
      <c r="C29" s="35" t="n">
        <v>0.627290225031064</v>
      </c>
      <c r="D29" s="35" t="n">
        <v>1.69208037968111</v>
      </c>
    </row>
    <row r="30" customFormat="false" ht="15" hidden="false" customHeight="false" outlineLevel="0" collapsed="false">
      <c r="A30" s="15" t="s">
        <v>173</v>
      </c>
      <c r="B30" s="26" t="n">
        <v>1873077.5897646</v>
      </c>
      <c r="C30" s="26" t="n">
        <v>2105188.02398887</v>
      </c>
      <c r="D30" s="26" t="n">
        <v>1398510.42634573</v>
      </c>
    </row>
    <row r="31" customFormat="false" ht="15" hidden="false" customHeight="false" outlineLevel="0" collapsed="false">
      <c r="A31" s="15" t="s">
        <v>201</v>
      </c>
      <c r="B31" s="36" t="s">
        <v>202</v>
      </c>
      <c r="C31" s="36" t="s">
        <v>202</v>
      </c>
      <c r="D31" s="36" t="s">
        <v>202</v>
      </c>
    </row>
    <row r="32" customFormat="false" ht="15" hidden="false" customHeight="false" outlineLevel="0" collapsed="false">
      <c r="A32" s="15" t="s">
        <v>187</v>
      </c>
      <c r="B32" s="36" t="s">
        <v>203</v>
      </c>
      <c r="C32" s="36" t="s">
        <v>203</v>
      </c>
      <c r="D32" s="36" t="s">
        <v>204</v>
      </c>
    </row>
    <row r="34" customFormat="false" ht="15" hidden="false" customHeight="false" outlineLevel="0" collapsed="false">
      <c r="A34" s="6" t="s">
        <v>37</v>
      </c>
      <c r="B34" s="7" t="s">
        <v>39</v>
      </c>
      <c r="C34" s="7" t="s">
        <v>41</v>
      </c>
      <c r="D34" s="7" t="s">
        <v>42</v>
      </c>
    </row>
    <row r="35" customFormat="false" ht="15" hidden="false" customHeight="false" outlineLevel="0" collapsed="false">
      <c r="A35" s="15" t="s">
        <v>96</v>
      </c>
      <c r="B35" s="26" t="n">
        <v>21356244</v>
      </c>
      <c r="C35" s="26" t="n">
        <v>23233716</v>
      </c>
      <c r="D35" s="26" t="n">
        <v>15820506</v>
      </c>
    </row>
    <row r="36" customFormat="false" ht="15" hidden="false" customHeight="false" outlineLevel="0" collapsed="false">
      <c r="A36" s="15" t="s">
        <v>44</v>
      </c>
      <c r="B36" s="16" t="n">
        <v>0.288</v>
      </c>
      <c r="C36" s="16" t="n">
        <v>0.293</v>
      </c>
      <c r="D36" s="16" t="n">
        <v>0.268</v>
      </c>
    </row>
    <row r="37" customFormat="false" ht="15" hidden="false" customHeight="false" outlineLevel="0" collapsed="false">
      <c r="A37" s="15" t="s">
        <v>101</v>
      </c>
      <c r="B37" s="26" t="n">
        <v>3277400.768</v>
      </c>
      <c r="C37" s="26" t="n">
        <v>3818816.756</v>
      </c>
      <c r="D37" s="26" t="n">
        <v>1899275.9</v>
      </c>
    </row>
    <row r="38" customFormat="false" ht="15" hidden="false" customHeight="false" outlineLevel="0" collapsed="false">
      <c r="A38" s="15" t="s">
        <v>132</v>
      </c>
      <c r="B38" s="26" t="n">
        <v>1753935.82269283</v>
      </c>
      <c r="C38" s="26" t="n">
        <v>2293271.44738872</v>
      </c>
      <c r="D38" s="26" t="n">
        <v>394050.060499558</v>
      </c>
    </row>
    <row r="39" customFormat="false" ht="15" hidden="false" customHeight="false" outlineLevel="0" collapsed="false">
      <c r="A39" s="15" t="s">
        <v>149</v>
      </c>
      <c r="B39" s="26" t="n">
        <v>789271.120211774</v>
      </c>
      <c r="C39" s="26" t="n">
        <v>1031972.15132492</v>
      </c>
      <c r="D39" s="26" t="n">
        <v>157620.024199823</v>
      </c>
    </row>
    <row r="40" customFormat="false" ht="15" hidden="false" customHeight="false" outlineLevel="0" collapsed="false">
      <c r="A40" s="15" t="s">
        <v>171</v>
      </c>
      <c r="B40" s="26" t="n">
        <v>1390558.23408458</v>
      </c>
      <c r="C40" s="26" t="n">
        <v>1782795.65114855</v>
      </c>
      <c r="D40" s="26" t="n">
        <v>546486.859647623</v>
      </c>
    </row>
    <row r="41" customFormat="false" ht="15" hidden="false" customHeight="false" outlineLevel="0" collapsed="false">
      <c r="A41" s="15" t="s">
        <v>197</v>
      </c>
      <c r="B41" s="26" t="n">
        <v>0</v>
      </c>
      <c r="C41" s="26" t="n">
        <v>0</v>
      </c>
      <c r="D41" s="26" t="n">
        <v>0</v>
      </c>
    </row>
    <row r="42" customFormat="false" ht="15" hidden="false" customHeight="false" outlineLevel="0" collapsed="false">
      <c r="A42" s="15" t="s">
        <v>198</v>
      </c>
      <c r="B42" s="26" t="n">
        <v>1770501.34751969</v>
      </c>
      <c r="C42" s="26" t="n">
        <v>1770501.34751969</v>
      </c>
      <c r="D42" s="26" t="n">
        <v>1770501.34751969</v>
      </c>
    </row>
    <row r="43" customFormat="false" ht="15" hidden="false" customHeight="false" outlineLevel="0" collapsed="false">
      <c r="A43" s="15" t="s">
        <v>199</v>
      </c>
      <c r="B43" s="35" t="n">
        <v>4.07731384564529</v>
      </c>
      <c r="C43" s="35" t="n">
        <v>4.63184750338673</v>
      </c>
      <c r="D43" s="35" t="n">
        <v>2.7117160346294</v>
      </c>
    </row>
    <row r="44" customFormat="false" ht="15" hidden="false" customHeight="false" outlineLevel="0" collapsed="false">
      <c r="A44" s="15" t="s">
        <v>200</v>
      </c>
      <c r="B44" s="35" t="n">
        <v>0.540215088983494</v>
      </c>
      <c r="C44" s="35" t="n">
        <v>0.46362563606592</v>
      </c>
      <c r="D44" s="35" t="n">
        <v>0.932198080078672</v>
      </c>
    </row>
    <row r="45" customFormat="false" ht="15" hidden="false" customHeight="false" outlineLevel="0" collapsed="false">
      <c r="A45" s="15" t="s">
        <v>173</v>
      </c>
      <c r="B45" s="26" t="n">
        <v>2890558.23408458</v>
      </c>
      <c r="C45" s="26" t="n">
        <v>3282795.65114855</v>
      </c>
      <c r="D45" s="26" t="n">
        <v>2046486.85964762</v>
      </c>
    </row>
    <row r="46" customFormat="false" ht="15" hidden="false" customHeight="false" outlineLevel="0" collapsed="false">
      <c r="A46" s="15" t="s">
        <v>201</v>
      </c>
      <c r="B46" s="36" t="s">
        <v>202</v>
      </c>
      <c r="C46" s="36" t="s">
        <v>202</v>
      </c>
      <c r="D46" s="36" t="s">
        <v>202</v>
      </c>
    </row>
    <row r="47" customFormat="false" ht="15" hidden="false" customHeight="false" outlineLevel="0" collapsed="false">
      <c r="A47" s="15" t="s">
        <v>187</v>
      </c>
      <c r="B47" s="36" t="s">
        <v>203</v>
      </c>
      <c r="C47" s="36" t="s">
        <v>203</v>
      </c>
      <c r="D47" s="36" t="s">
        <v>203</v>
      </c>
    </row>
    <row r="49" customFormat="false" ht="15" hidden="false" customHeight="false" outlineLevel="0" collapsed="false">
      <c r="A49" s="8" t="s">
        <v>205</v>
      </c>
    </row>
    <row r="50" customFormat="false" ht="15" hidden="false" customHeight="true" outlineLevel="0" collapsed="false">
      <c r="A50" s="37" t="s">
        <v>206</v>
      </c>
      <c r="B50" s="37"/>
      <c r="C50" s="37"/>
      <c r="D50" s="37"/>
      <c r="E50" s="37"/>
      <c r="F50" s="37"/>
      <c r="G50" s="37"/>
      <c r="H50" s="37"/>
    </row>
    <row r="51" customFormat="false" ht="15" hidden="false" customHeight="false" outlineLevel="0" collapsed="false">
      <c r="A51" s="37"/>
      <c r="B51" s="37"/>
      <c r="C51" s="37"/>
      <c r="D51" s="37"/>
      <c r="E51" s="37"/>
      <c r="F51" s="37"/>
      <c r="G51" s="37"/>
      <c r="H51" s="37"/>
    </row>
    <row r="52" customFormat="false" ht="15" hidden="false" customHeight="false" outlineLevel="0" collapsed="false">
      <c r="A52" s="37"/>
      <c r="B52" s="37"/>
      <c r="C52" s="37"/>
      <c r="D52" s="37"/>
      <c r="E52" s="37"/>
      <c r="F52" s="37"/>
      <c r="G52" s="37"/>
      <c r="H52" s="37"/>
    </row>
  </sheetData>
  <mergeCells count="1">
    <mergeCell ref="A50:H52"/>
  </mergeCells>
  <conditionalFormatting sqref="B4:D49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"Tax distributions only"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2026-10-23T22:52:03Z</dcterms:created>
  <dc:creator>openpyxl</dc:creator>
  <dc:description/>
  <dc:language>en-US</dc:language>
  <cp:lastModifiedBy/>
  <dcterms:modified xsi:type="dcterms:W3CDTF">2026-10-23T22:52:09Z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