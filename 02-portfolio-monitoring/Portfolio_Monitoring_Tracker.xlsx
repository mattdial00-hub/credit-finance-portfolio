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ettings" sheetId="2" state="visible" r:id="rId4"/>
    <sheet name="Loan_Register" sheetId="3" state="visible" r:id="rId5"/>
    <sheet name="Covenant_Test" sheetId="4" state="visible" r:id="rId6"/>
    <sheet name="Early_Warning" sheetId="5" state="visible" r:id="rId7"/>
    <sheet name="Watch_List" sheetId="6" state="visible" r:id="rId8"/>
    <sheet name="Grade_Migration" sheetId="7" state="visible" r:id="rId9"/>
    <sheet name="Concentration" sheetId="8" state="visible" r:id="rId10"/>
    <sheet name="Reporting_Tickl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<sst xmlns="http://schemas.openxmlformats.org/spreadsheetml/2006/main" count="563" uniqueCount="327">
  <si>
    <t xml:space="preserve">Commercial Portfolio Monitoring Tracker</t>
  </si>
  <si>
    <t xml:space="preserve">Prairie Lantern Bank, N.A.  |  Commercial Banking Portfolio  |  Quarter ended September 30, 2026</t>
  </si>
  <si>
    <t xml:space="preserve">Prepared by Matthew Dial  |  Portfolio work sample</t>
  </si>
  <si>
    <t xml:space="preserve">DISCLAIMER: The bank, every borrower, and all figures are fictional and were created for portfolio demonstration only. No real customer or employer data is used.</t>
  </si>
  <si>
    <t xml:space="preserve">Tab</t>
  </si>
  <si>
    <t xml:space="preserve">What it shows</t>
  </si>
  <si>
    <t xml:space="preserve">Settings</t>
  </si>
  <si>
    <t xml:space="preserve">As-of date, early warning thresholds and point values, concentration limits, rating scale</t>
  </si>
  <si>
    <t xml:space="preserve">Loan_Register</t>
  </si>
  <si>
    <t xml:space="preserve">One row per relationship: exposure, grades, payment status, covenants, reporting dates, action plans (inputs)</t>
  </si>
  <si>
    <t xml:space="preserve">Covenant_Test</t>
  </si>
  <si>
    <t xml:space="preserve">Tests every covenant, calculates cushion, and flags Pass / Near Breach / Breach</t>
  </si>
  <si>
    <t xml:space="preserve">Early_Warning</t>
  </si>
  <si>
    <t xml:space="preserve">Scores each relationship on nine early warning indicators and assigns a flag level</t>
  </si>
  <si>
    <t xml:space="preserve">Watch_List</t>
  </si>
  <si>
    <t xml:space="preserve">Auto-populated list of relationships at or above the watch threshold, ranked by score</t>
  </si>
  <si>
    <t xml:space="preserve">Grade_Migration</t>
  </si>
  <si>
    <t xml:space="preserve">Prior vs. current risk grade matrix by count and balance; criticized and classified totals</t>
  </si>
  <si>
    <t xml:space="preserve">Concentration</t>
  </si>
  <si>
    <t xml:space="preserve">Exposure by sector and industry against internal limits; top five relationships</t>
  </si>
  <si>
    <t xml:space="preserve">Reporting_Tickler</t>
  </si>
  <si>
    <t xml:space="preserve">Financial statement, borrowing base, and maturity tracking against the as-of date</t>
  </si>
  <si>
    <t xml:space="preserve">How to update</t>
  </si>
  <si>
    <t xml:space="preserve">1. Change the as-of date on Settings.</t>
  </si>
  <si>
    <t xml:space="preserve">2. Update blue cells on Loan_Register with new test results, grades, payment status, and dates.</t>
  </si>
  <si>
    <t xml:space="preserve">3. Every other tab recalculates, including the ranked watch list.</t>
  </si>
  <si>
    <t xml:space="preserve">Color legend</t>
  </si>
  <si>
    <t xml:space="preserve">Blue text</t>
  </si>
  <si>
    <t xml:space="preserve">Input</t>
  </si>
  <si>
    <t xml:space="preserve">Black text</t>
  </si>
  <si>
    <t xml:space="preserve">Formula on the same sheet</t>
  </si>
  <si>
    <t xml:space="preserve">Green text</t>
  </si>
  <si>
    <t xml:space="preserve">Formula linking to another sheet</t>
  </si>
  <si>
    <t xml:space="preserve">Red / amber / green fill</t>
  </si>
  <si>
    <t xml:space="preserve">Status (conditional formatting)</t>
  </si>
  <si>
    <t xml:space="preserve">Settings &amp; Thresholds</t>
  </si>
  <si>
    <t xml:space="preserve">Blue cells drive every test in the workbook</t>
  </si>
  <si>
    <t xml:space="preserve">General</t>
  </si>
  <si>
    <t xml:space="preserve">Value</t>
  </si>
  <si>
    <t xml:space="preserve">Notes</t>
  </si>
  <si>
    <t xml:space="preserve">As-of date</t>
  </si>
  <si>
    <t xml:space="preserve">Quarter end being reviewed</t>
  </si>
  <si>
    <t xml:space="preserve">Near-breach cushion</t>
  </si>
  <si>
    <t xml:space="preserve">Covenant passes but within this % of the requirement</t>
  </si>
  <si>
    <t xml:space="preserve">DSCR decline trigger</t>
  </si>
  <si>
    <t xml:space="preserve">Decline vs. prior test that counts as a warning</t>
  </si>
  <si>
    <t xml:space="preserve">Borrowing base certificate late after (days)</t>
  </si>
  <si>
    <t xml:space="preserve">Monthly BBC due within 20 days of month end</t>
  </si>
  <si>
    <t xml:space="preserve">Line utilization trigger</t>
  </si>
  <si>
    <t xml:space="preserve">Revolver relationships only</t>
  </si>
  <si>
    <t xml:space="preserve">Maturity window (days)</t>
  </si>
  <si>
    <t xml:space="preserve">Flags renewals and refinances coming due</t>
  </si>
  <si>
    <t xml:space="preserve">Early warning points</t>
  </si>
  <si>
    <t xml:space="preserve">Points</t>
  </si>
  <si>
    <t xml:space="preserve">Indicator</t>
  </si>
  <si>
    <t xml:space="preserve">Covenant breach</t>
  </si>
  <si>
    <t xml:space="preserve">Covenant near breach (no breach)</t>
  </si>
  <si>
    <t xml:space="preserve">DSCR decline beyond trigger</t>
  </si>
  <si>
    <t xml:space="preserve">30+ days past due</t>
  </si>
  <si>
    <t xml:space="preserve">15 to 29 days past due</t>
  </si>
  <si>
    <t xml:space="preserve">Financial statements late</t>
  </si>
  <si>
    <t xml:space="preserve">Borrowing base certificate late</t>
  </si>
  <si>
    <t xml:space="preserve">Risk grade downgrade</t>
  </si>
  <si>
    <t xml:space="preserve">Collateral coverage below 1.00x</t>
  </si>
  <si>
    <t xml:space="preserve">Revolver utilization above trigger</t>
  </si>
  <si>
    <t xml:space="preserve">Flag levels (total score)</t>
  </si>
  <si>
    <t xml:space="preserve">Minimum</t>
  </si>
  <si>
    <t xml:space="preserve">Meaning</t>
  </si>
  <si>
    <t xml:space="preserve">Critical</t>
  </si>
  <si>
    <t xml:space="preserve">Escalate to credit administration; action plan within 30 days</t>
  </si>
  <si>
    <t xml:space="preserve">Watch</t>
  </si>
  <si>
    <t xml:space="preserve">Added to watch list; quarterly review</t>
  </si>
  <si>
    <t xml:space="preserve">Monitor</t>
  </si>
  <si>
    <t xml:space="preserve">Officer awareness; no formal action</t>
  </si>
  <si>
    <t xml:space="preserve">Concentration limits (% of commitments)</t>
  </si>
  <si>
    <t xml:space="preserve">Limit</t>
  </si>
  <si>
    <t xml:space="preserve">Total commercial real estate</t>
  </si>
  <si>
    <t xml:space="preserve">Internal portfolio limit</t>
  </si>
  <si>
    <t xml:space="preserve">Any single CRE property type</t>
  </si>
  <si>
    <t xml:space="preserve">Any single C&amp;I industry</t>
  </si>
  <si>
    <t xml:space="preserve">Largest single relationship</t>
  </si>
  <si>
    <t xml:space="preserve">Near-limit trigger (% of limit used)</t>
  </si>
  <si>
    <t xml:space="preserve">Flag when exposure reaches this share of its limit</t>
  </si>
  <si>
    <t xml:space="preserve">Risk rating scale</t>
  </si>
  <si>
    <t xml:space="preserve">Grade</t>
  </si>
  <si>
    <t xml:space="preserve">Category</t>
  </si>
  <si>
    <t xml:space="preserve">Exceptional</t>
  </si>
  <si>
    <t xml:space="preserve">Pass</t>
  </si>
  <si>
    <t xml:space="preserve">Strong</t>
  </si>
  <si>
    <t xml:space="preserve">Good</t>
  </si>
  <si>
    <t xml:space="preserve">Satisfactory</t>
  </si>
  <si>
    <t xml:space="preserve">Acceptable</t>
  </si>
  <si>
    <t xml:space="preserve">Special Mention</t>
  </si>
  <si>
    <t xml:space="preserve">Criticized</t>
  </si>
  <si>
    <t xml:space="preserve">Substandard</t>
  </si>
  <si>
    <t xml:space="preserve">Classified</t>
  </si>
  <si>
    <t xml:space="preserve">Doubtful</t>
  </si>
  <si>
    <t xml:space="preserve">Loan Register</t>
  </si>
  <si>
    <t xml:space="preserve">Inputs: one row per relationship. Covenant results reflect the most recent test period.</t>
  </si>
  <si>
    <t xml:space="preserve">Loan ID</t>
  </si>
  <si>
    <t xml:space="preserve">Borrower</t>
  </si>
  <si>
    <t xml:space="preserve">Sector</t>
  </si>
  <si>
    <t xml:space="preserve">Industry</t>
  </si>
  <si>
    <t xml:space="preserve">Facility type</t>
  </si>
  <si>
    <t xml:space="preserve">Commitment</t>
  </si>
  <si>
    <t xml:space="preserve">Outstanding</t>
  </si>
  <si>
    <t xml:space="preserve">Revolver?</t>
  </si>
  <si>
    <t xml:space="preserve">Rate type</t>
  </si>
  <si>
    <t xml:space="preserve">Maturity</t>
  </si>
  <si>
    <t xml:space="preserve">Prior grade (Q2)</t>
  </si>
  <si>
    <t xml:space="preserve">Current grade (Q3)</t>
  </si>
  <si>
    <t xml:space="preserve">Days past due</t>
  </si>
  <si>
    <t xml:space="preserve">Collateral coverage</t>
  </si>
  <si>
    <t xml:space="preserve">DSCR minimum</t>
  </si>
  <si>
    <t xml:space="preserve">DSCR prior test</t>
  </si>
  <si>
    <t xml:space="preserve">DSCR current test</t>
  </si>
  <si>
    <t xml:space="preserve">Covenant 2</t>
  </si>
  <si>
    <t xml:space="preserve">Max / Min</t>
  </si>
  <si>
    <t xml:space="preserve">Covenant 2 requirement</t>
  </si>
  <si>
    <t xml:space="preserve">Covenant 2 actual</t>
  </si>
  <si>
    <t xml:space="preserve">Annual FS due</t>
  </si>
  <si>
    <t xml:space="preserve">Annual FS received</t>
  </si>
  <si>
    <t xml:space="preserve">Interim FS due</t>
  </si>
  <si>
    <t xml:space="preserve">Interim FS received</t>
  </si>
  <si>
    <t xml:space="preserve">Last BBC date</t>
  </si>
  <si>
    <t xml:space="preserve">Officer comments / action plan</t>
  </si>
  <si>
    <t xml:space="preserve">PL-1001</t>
  </si>
  <si>
    <t xml:space="preserve">Brazos Bend Fabrication, LLC</t>
  </si>
  <si>
    <t xml:space="preserve">C&amp;I</t>
  </si>
  <si>
    <t xml:space="preserve">Manufacturing</t>
  </si>
  <si>
    <t xml:space="preserve">Term + RLOC</t>
  </si>
  <si>
    <t xml:space="preserve">Y</t>
  </si>
  <si>
    <t xml:space="preserve">Fixed / Floating</t>
  </si>
  <si>
    <t xml:space="preserve">Funded Debt / EBITDA</t>
  </si>
  <si>
    <t xml:space="preserve">Max</t>
  </si>
  <si>
    <t xml:space="preserve">Strong year. $3.3MM new money approved Oct 2026 for equipment and line increase (see Package 01).</t>
  </si>
  <si>
    <t xml:space="preserve">PL-1002</t>
  </si>
  <si>
    <t xml:space="preserve">Gulfway Cold Storage Partners, LP</t>
  </si>
  <si>
    <t xml:space="preserve">CRE</t>
  </si>
  <si>
    <t xml:space="preserve">CRE - Industrial</t>
  </si>
  <si>
    <t xml:space="preserve">CRE Term</t>
  </si>
  <si>
    <t xml:space="preserve">N</t>
  </si>
  <si>
    <t xml:space="preserve">Fixed</t>
  </si>
  <si>
    <t xml:space="preserve">Loan to Value</t>
  </si>
  <si>
    <t xml:space="preserve">n/a</t>
  </si>
  <si>
    <t xml:space="preserve">Fully leased to two food distributors through 2032.</t>
  </si>
  <si>
    <t xml:space="preserve">PL-1003</t>
  </si>
  <si>
    <t xml:space="preserve">Bayou City Pediatric Associates, PA</t>
  </si>
  <si>
    <t xml:space="preserve">Healthcare</t>
  </si>
  <si>
    <t xml:space="preserve">Floating</t>
  </si>
  <si>
    <t xml:space="preserve">PL-1004</t>
  </si>
  <si>
    <t xml:space="preserve">Cypress Ridge Apartments, LP</t>
  </si>
  <si>
    <t xml:space="preserve">CRE - Multifamily</t>
  </si>
  <si>
    <t xml:space="preserve">Insurance premiums up 38% and new-lease concessions compressed NOI; DSCR within 1% of covenant. Downgraded to 5. Action: monthly rent rolls, sponsor-funded insurance reserve, rate cap renewal before Mar 2027 expiry.</t>
  </si>
  <si>
    <t xml:space="preserve">PL-1005</t>
  </si>
  <si>
    <t xml:space="preserve">Lone Oak Hospitality, Inc.</t>
  </si>
  <si>
    <t xml:space="preserve">CRE - Hospitality</t>
  </si>
  <si>
    <t xml:space="preserve">Guarantor Liquidity</t>
  </si>
  <si>
    <t xml:space="preserve">Min</t>
  </si>
  <si>
    <t xml:space="preserve">RevPAR down 9% after a competing hotel opened nearby; DSCR covenant breached. Downgraded to 6 (Watch). Action: waiver with fee, 6-month debt service reserve, 90-day business plan, monthly STR reports.</t>
  </si>
  <si>
    <t xml:space="preserve">PL-1006</t>
  </si>
  <si>
    <t xml:space="preserve">Copperline Electrical Contractors, Inc.</t>
  </si>
  <si>
    <t xml:space="preserve">Construction</t>
  </si>
  <si>
    <t xml:space="preserve">RLOC + Equipment</t>
  </si>
  <si>
    <t xml:space="preserve">Debt / Worth</t>
  </si>
  <si>
    <t xml:space="preserve">Line usage at 92% from retainage on two hospital projects; paydown expected at Q4 completion. Action: confirm retainage collections on monthly BBC.</t>
  </si>
  <si>
    <t xml:space="preserve">PL-1007</t>
  </si>
  <si>
    <t xml:space="preserve">Harbor Point Logistics, LLC</t>
  </si>
  <si>
    <t xml:space="preserve">Transportation</t>
  </si>
  <si>
    <t xml:space="preserve">Equipment Term</t>
  </si>
  <si>
    <t xml:space="preserve">Freight rate softness cut EBITDA 14%; DSCR breached and 6/30 interims past due. Downgraded to 5. Action: default notice issued, interims within 15 days, evaluate sale of excess tractors to deleverage.</t>
  </si>
  <si>
    <t xml:space="preserve">PL-1008</t>
  </si>
  <si>
    <t xml:space="preserve">Summit Pediatric Dental, PLLC</t>
  </si>
  <si>
    <t xml:space="preserve">Term</t>
  </si>
  <si>
    <t xml:space="preserve">PL-1009</t>
  </si>
  <si>
    <t xml:space="preserve">Westchase Office Plaza, LLC</t>
  </si>
  <si>
    <t xml:space="preserve">CRE - Office</t>
  </si>
  <si>
    <t xml:space="preserve">Occupancy fell from 86% to 71% after the anchor tenant vacated; new appraisal puts LTV at 79%. Both covenants breached. Downgraded to Special Mention. Action: require $600K curtailment or added collateral, monthly leasing reports, start refinance planning for Dec 2027 maturity.</t>
  </si>
  <si>
    <t xml:space="preserve">PL-1010</t>
  </si>
  <si>
    <t xml:space="preserve">Prairie Seed &amp; Supply Co.</t>
  </si>
  <si>
    <t xml:space="preserve">Agriculture</t>
  </si>
  <si>
    <t xml:space="preserve">RLOC</t>
  </si>
  <si>
    <t xml:space="preserve">Line renewal due Mar 2027.</t>
  </si>
  <si>
    <t xml:space="preserve">PL-1011</t>
  </si>
  <si>
    <t xml:space="preserve">Katy Retail Commons, LLC</t>
  </si>
  <si>
    <t xml:space="preserve">CRE - Retail</t>
  </si>
  <si>
    <t xml:space="preserve">PL-1012</t>
  </si>
  <si>
    <t xml:space="preserve">Trinity Machine Works, Inc.</t>
  </si>
  <si>
    <t xml:space="preserve">Upgraded to 3: new aerospace contract drove 18% revenue growth.</t>
  </si>
  <si>
    <t xml:space="preserve">PL-1013</t>
  </si>
  <si>
    <t xml:space="preserve">Redbird Restaurant Group, LLC</t>
  </si>
  <si>
    <t xml:space="preserve">Restaurants</t>
  </si>
  <si>
    <t xml:space="preserve">Minimum Liquidity</t>
  </si>
  <si>
    <t xml:space="preserve">September payment 18 days late; food cost pressure. Action: monitor payment timing, request monthly sales reports.</t>
  </si>
  <si>
    <t xml:space="preserve">PL-1014</t>
  </si>
  <si>
    <t xml:space="preserve">Gulf Coast Oilfield Rentals, LLC</t>
  </si>
  <si>
    <t xml:space="preserve">Energy Services</t>
  </si>
  <si>
    <t xml:space="preserve">Leverage within 7% of covenant after equipment additions. Action: quarterly compliance certificate.</t>
  </si>
  <si>
    <t xml:space="preserve">PL-1015</t>
  </si>
  <si>
    <t xml:space="preserve">Meridian Physical Therapy Group, LLC</t>
  </si>
  <si>
    <t xml:space="preserve">PL-1016</t>
  </si>
  <si>
    <t xml:space="preserve">Pecan Street Self Storage, LLC</t>
  </si>
  <si>
    <t xml:space="preserve">CRE - Self Storage</t>
  </si>
  <si>
    <t xml:space="preserve">PL-1017</t>
  </si>
  <si>
    <t xml:space="preserve">Allied Packaging Distributors, Inc.</t>
  </si>
  <si>
    <t xml:space="preserve">Wholesale Distribution</t>
  </si>
  <si>
    <t xml:space="preserve">PL-1018</t>
  </si>
  <si>
    <t xml:space="preserve">Northgate Senior Living, LLC</t>
  </si>
  <si>
    <t xml:space="preserve">CRE - Senior Housing</t>
  </si>
  <si>
    <t xml:space="preserve">Upgraded from 6: occupancy recovered to 91% and DSCR covenant cured. Cushion still thin; keep on quarterly testing.</t>
  </si>
  <si>
    <t xml:space="preserve">PL-1019</t>
  </si>
  <si>
    <t xml:space="preserve">Clearwater HVAC Services, Inc.</t>
  </si>
  <si>
    <t xml:space="preserve">RLOC + Term</t>
  </si>
  <si>
    <t xml:space="preserve">PL-1020</t>
  </si>
  <si>
    <t xml:space="preserve">Sabine Marine Services, LLC</t>
  </si>
  <si>
    <t xml:space="preserve">PL-1021</t>
  </si>
  <si>
    <t xml:space="preserve">Heights Craft Brewing Co.</t>
  </si>
  <si>
    <t xml:space="preserve">Food &amp; Beverage Mfg</t>
  </si>
  <si>
    <t xml:space="preserve">Lost largest distribution contract in Q2; revenue down 22%. 32 days past due and both covenants breached. Downgraded to Substandard. Action: transfer to Special Assets, order equipment appraisal, updated guarantor PFS, evaluate forbearance.</t>
  </si>
  <si>
    <t xml:space="preserve">PL-1022</t>
  </si>
  <si>
    <t xml:space="preserve">Lakeside Veterinary Partners, LLC</t>
  </si>
  <si>
    <t xml:space="preserve">PL-1023</t>
  </si>
  <si>
    <t xml:space="preserve">Bellaire Industrial Flex, LLC</t>
  </si>
  <si>
    <t xml:space="preserve">PL-1024</t>
  </si>
  <si>
    <t xml:space="preserve">Texan Precision Plastics, LLC</t>
  </si>
  <si>
    <t xml:space="preserve">DSCR fell 19% on a resin cost spike and delayed price increase; still compliant. Action: monthly interims through Q1 2027.</t>
  </si>
  <si>
    <t xml:space="preserve">Totals</t>
  </si>
  <si>
    <t xml:space="preserve">Covenant Compliance Testing</t>
  </si>
  <si>
    <t xml:space="preserve">Cushion = distance from the requirement as a % of the requirement. Negative cushion = breach.</t>
  </si>
  <si>
    <t xml:space="preserve">DSCR req.</t>
  </si>
  <si>
    <t xml:space="preserve">DSCR actual</t>
  </si>
  <si>
    <t xml:space="preserve">DSCR cushion</t>
  </si>
  <si>
    <t xml:space="preserve">DSCR status</t>
  </si>
  <si>
    <t xml:space="preserve">Requirement</t>
  </si>
  <si>
    <t xml:space="preserve">Actual</t>
  </si>
  <si>
    <t xml:space="preserve">Cushion</t>
  </si>
  <si>
    <t xml:space="preserve">Cov 2 status</t>
  </si>
  <si>
    <t xml:space="preserve">Overall status</t>
  </si>
  <si>
    <t xml:space="preserve">Summary</t>
  </si>
  <si>
    <t xml:space="preserve">Count</t>
  </si>
  <si>
    <t xml:space="preserve">Near Breach</t>
  </si>
  <si>
    <t xml:space="preserve">Breach</t>
  </si>
  <si>
    <t xml:space="preserve">Early Warning Scorecard</t>
  </si>
  <si>
    <t xml:space="preserve">Points per indicator come from Settings. Watch-list rank orders flagged loans by score.</t>
  </si>
  <si>
    <t xml:space="preserve">DSCR change</t>
  </si>
  <si>
    <t xml:space="preserve">Covenant</t>
  </si>
  <si>
    <t xml:space="preserve">DSCR trend</t>
  </si>
  <si>
    <t xml:space="preserve">Delinquency</t>
  </si>
  <si>
    <t xml:space="preserve">Fin. stmts</t>
  </si>
  <si>
    <t xml:space="preserve">BBC</t>
  </si>
  <si>
    <t xml:space="preserve">Downgrade</t>
  </si>
  <si>
    <t xml:space="preserve">Collateral</t>
  </si>
  <si>
    <t xml:space="preserve">Utilization</t>
  </si>
  <si>
    <t xml:space="preserve">Total score</t>
  </si>
  <si>
    <t xml:space="preserve">Flag level</t>
  </si>
  <si>
    <t xml:space="preserve">Watch-list rank</t>
  </si>
  <si>
    <t xml:space="preserve">Utilization %</t>
  </si>
  <si>
    <t xml:space="preserve">Green</t>
  </si>
  <si>
    <t xml:space="preserve">Watch List</t>
  </si>
  <si>
    <t xml:space="preserve">Populates automatically from Early_Warning: every relationship scoring at or above the Watch threshold, highest score first.</t>
  </si>
  <si>
    <t xml:space="preserve">Rank</t>
  </si>
  <si>
    <t xml:space="preserve">Prior grade</t>
  </si>
  <si>
    <t xml:space="preserve">Current grade</t>
  </si>
  <si>
    <t xml:space="preserve">Score</t>
  </si>
  <si>
    <t xml:space="preserve">Flag</t>
  </si>
  <si>
    <t xml:space="preserve">Covenants</t>
  </si>
  <si>
    <t xml:space="preserve">Action plan</t>
  </si>
  <si>
    <t xml:space="preserve">Watch list total</t>
  </si>
  <si>
    <t xml:space="preserve">% of portfolio outstanding</t>
  </si>
  <si>
    <t xml:space="preserve">Relationships on watch list</t>
  </si>
  <si>
    <t xml:space="preserve">Risk Grade Migration</t>
  </si>
  <si>
    <t xml:space="preserve">Rows = prior quarter grade (Q2 2026). Columns = current grade (Q3 2026). Diagonal = unchanged; right of diagonal = downgrade.</t>
  </si>
  <si>
    <t xml:space="preserve">Grade 1</t>
  </si>
  <si>
    <t xml:space="preserve">Grade 2</t>
  </si>
  <si>
    <t xml:space="preserve">Grade 3</t>
  </si>
  <si>
    <t xml:space="preserve">Grade 4</t>
  </si>
  <si>
    <t xml:space="preserve">Grade 5</t>
  </si>
  <si>
    <t xml:space="preserve">Grade 6</t>
  </si>
  <si>
    <t xml:space="preserve">Grade 7</t>
  </si>
  <si>
    <t xml:space="preserve">Grade 8</t>
  </si>
  <si>
    <t xml:space="preserve">Grade 9</t>
  </si>
  <si>
    <t xml:space="preserve">Total</t>
  </si>
  <si>
    <t xml:space="preserve">Prior grade 1</t>
  </si>
  <si>
    <t xml:space="preserve">Prior grade 2</t>
  </si>
  <si>
    <t xml:space="preserve">Prior grade 3</t>
  </si>
  <si>
    <t xml:space="preserve">Prior grade 4</t>
  </si>
  <si>
    <t xml:space="preserve">Prior grade 5</t>
  </si>
  <si>
    <t xml:space="preserve">Prior grade 6</t>
  </si>
  <si>
    <t xml:space="preserve">Prior grade 7</t>
  </si>
  <si>
    <t xml:space="preserve">Prior grade 8</t>
  </si>
  <si>
    <t xml:space="preserve">Prior grade 9</t>
  </si>
  <si>
    <t xml:space="preserve">Outstanding ($)</t>
  </si>
  <si>
    <t xml:space="preserve">Migration summary</t>
  </si>
  <si>
    <t xml:space="preserve">Upgrades</t>
  </si>
  <si>
    <t xml:space="preserve">Unchanged</t>
  </si>
  <si>
    <t xml:space="preserve">Downgrades</t>
  </si>
  <si>
    <t xml:space="preserve">Portfolio quality</t>
  </si>
  <si>
    <t xml:space="preserve">Prior (Q2)</t>
  </si>
  <si>
    <t xml:space="preserve">Current (Q3)</t>
  </si>
  <si>
    <t xml:space="preserve">Change</t>
  </si>
  <si>
    <t xml:space="preserve">Weighted average risk grade</t>
  </si>
  <si>
    <t xml:space="preserve">Criticized + classified (grade 7+) $</t>
  </si>
  <si>
    <t xml:space="preserve">Classified (grade 8+) $</t>
  </si>
  <si>
    <t xml:space="preserve">Criticized + classified % of outstanding</t>
  </si>
  <si>
    <t xml:space="preserve">Watch and below (grade 6+) $</t>
  </si>
  <si>
    <t xml:space="preserve">Same balances used for both quarters so the change isolates grade movement.</t>
  </si>
  <si>
    <t xml:space="preserve">Concentration Analysis</t>
  </si>
  <si>
    <t xml:space="preserve">Exposure measured on commitments; limits from Settings</t>
  </si>
  <si>
    <t xml:space="preserve">% of commit.</t>
  </si>
  <si>
    <t xml:space="preserve">Status</t>
  </si>
  <si>
    <t xml:space="preserve">Industry / property type</t>
  </si>
  <si>
    <t xml:space="preserve">Top 5 relationships</t>
  </si>
  <si>
    <t xml:space="preserve">Top 5 total</t>
  </si>
  <si>
    <t xml:space="preserve">Reporting Tickler</t>
  </si>
  <si>
    <t xml:space="preserve">Days late measured against the as-of date on Settings</t>
  </si>
  <si>
    <t xml:space="preserve">Annual due</t>
  </si>
  <si>
    <t xml:space="preserve">Received</t>
  </si>
  <si>
    <t xml:space="preserve">Days late</t>
  </si>
  <si>
    <t xml:space="preserve">Annual status</t>
  </si>
  <si>
    <t xml:space="preserve">Interim due</t>
  </si>
  <si>
    <t xml:space="preserve">Interim status</t>
  </si>
  <si>
    <t xml:space="preserve">BBC req.</t>
  </si>
  <si>
    <t xml:space="preserve">Last BBC</t>
  </si>
  <si>
    <t xml:space="preserve">Days since</t>
  </si>
  <si>
    <t xml:space="preserve">BBC status</t>
  </si>
  <si>
    <t xml:space="preserve">Days to maturity</t>
  </si>
  <si>
    <t xml:space="preserve">Maturity status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</si>
</sst>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yy"/>
    <numFmt numFmtId="166" formatCode="0.0%;\(0.0%\);\-"/>
    <numFmt numFmtId="167" formatCode="#,##0;\(#,##0\);\-"/>
    <numFmt numFmtId="168" formatCode="0"/>
    <numFmt numFmtId="169" formatCode="\$#,##0;&quot;($&quot;#,##0\);\-"/>
    <numFmt numFmtId="170" formatCode="0.00\x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5CD"/>
      </patternFill>
    </fill>
    <fill>
      <patternFill patternType="solid">
        <fgColor rgb="FFD9E2F3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CCCC"/>
        </patternFill>
      </fill>
    </dxf>
    <dxf>
      <fill>
        <patternFill>
          <bgColor rgb="FFFCE5CD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8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0" hidden="false" customHeight="true" outlineLevel="0" collapsed="false">
      <c r="B6" s="4" t="s">
        <v>3</v>
      </c>
      <c r="C6" s="4"/>
    </row>
    <row r="8" customFormat="false" ht="30" hidden="false" customHeight="true" outlineLevel="0" collapsed="false">
      <c r="B8" s="5" t="s">
        <v>4</v>
      </c>
      <c r="C8" s="5" t="s">
        <v>5</v>
      </c>
    </row>
    <row r="9" customFormat="false" ht="15" hidden="false" customHeight="false" outlineLevel="0" collapsed="false">
      <c r="B9" s="6" t="s">
        <v>6</v>
      </c>
      <c r="C9" s="7" t="s">
        <v>7</v>
      </c>
    </row>
    <row r="10" customFormat="false" ht="15" hidden="false" customHeight="false" outlineLevel="0" collapsed="false">
      <c r="B10" s="6" t="s">
        <v>8</v>
      </c>
      <c r="C10" s="7" t="s">
        <v>9</v>
      </c>
    </row>
    <row r="11" customFormat="false" ht="15" hidden="false" customHeight="false" outlineLevel="0" collapsed="false">
      <c r="B11" s="6" t="s">
        <v>10</v>
      </c>
      <c r="C11" s="7" t="s">
        <v>11</v>
      </c>
    </row>
    <row r="12" customFormat="false" ht="15" hidden="false" customHeight="false" outlineLevel="0" collapsed="false">
      <c r="B12" s="6" t="s">
        <v>12</v>
      </c>
      <c r="C12" s="7" t="s">
        <v>13</v>
      </c>
    </row>
    <row r="13" customFormat="false" ht="15" hidden="false" customHeight="false" outlineLevel="0" collapsed="false">
      <c r="B13" s="6" t="s">
        <v>14</v>
      </c>
      <c r="C13" s="7" t="s">
        <v>15</v>
      </c>
    </row>
    <row r="14" customFormat="false" ht="15" hidden="false" customHeight="false" outlineLevel="0" collapsed="false">
      <c r="B14" s="6" t="s">
        <v>16</v>
      </c>
      <c r="C14" s="7" t="s">
        <v>17</v>
      </c>
    </row>
    <row r="15" customFormat="false" ht="15" hidden="false" customHeight="false" outlineLevel="0" collapsed="false">
      <c r="B15" s="6" t="s">
        <v>18</v>
      </c>
      <c r="C15" s="7" t="s">
        <v>19</v>
      </c>
    </row>
    <row r="16" customFormat="false" ht="15" hidden="false" customHeight="false" outlineLevel="0" collapsed="false">
      <c r="B16" s="6" t="s">
        <v>20</v>
      </c>
      <c r="C16" s="7" t="s">
        <v>21</v>
      </c>
    </row>
    <row r="18" customFormat="false" ht="30" hidden="false" customHeight="true" outlineLevel="0" collapsed="false">
      <c r="B18" s="5" t="s">
        <v>22</v>
      </c>
      <c r="C18" s="5"/>
    </row>
    <row r="19" customFormat="false" ht="15" hidden="false" customHeight="false" outlineLevel="0" collapsed="false">
      <c r="C19" s="7" t="s">
        <v>23</v>
      </c>
    </row>
    <row r="20" customFormat="false" ht="15" hidden="false" customHeight="false" outlineLevel="0" collapsed="false">
      <c r="C20" s="7" t="s">
        <v>24</v>
      </c>
    </row>
    <row r="21" customFormat="false" ht="15" hidden="false" customHeight="false" outlineLevel="0" collapsed="false">
      <c r="C21" s="7" t="s">
        <v>25</v>
      </c>
    </row>
    <row r="23" customFormat="false" ht="30" hidden="false" customHeight="true" outlineLevel="0" collapsed="false">
      <c r="B23" s="5" t="s">
        <v>26</v>
      </c>
      <c r="C23" s="5"/>
    </row>
    <row r="24" customFormat="false" ht="15" hidden="false" customHeight="false" outlineLevel="0" collapsed="false">
      <c r="B24" s="8" t="s">
        <v>27</v>
      </c>
      <c r="C24" s="7" t="s">
        <v>28</v>
      </c>
    </row>
    <row r="25" customFormat="false" ht="15" hidden="false" customHeight="false" outlineLevel="0" collapsed="false">
      <c r="B25" s="7" t="s">
        <v>29</v>
      </c>
      <c r="C25" s="7" t="s">
        <v>30</v>
      </c>
    </row>
    <row r="26" customFormat="false" ht="15" hidden="false" customHeight="false" outlineLevel="0" collapsed="false">
      <c r="B26" s="9" t="s">
        <v>31</v>
      </c>
      <c r="C26" s="7" t="s">
        <v>32</v>
      </c>
    </row>
    <row r="27" customFormat="false" ht="15" hidden="false" customHeight="false" outlineLevel="0" collapsed="false">
      <c r="B27" s="7" t="s">
        <v>33</v>
      </c>
      <c r="C27" s="7" t="s">
        <v>34</v>
      </c>
    </row>
  </sheetData>
  <mergeCells count="1">
    <mergeCell ref="B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0" t="s">
        <v>35</v>
      </c>
    </row>
    <row r="2" customFormat="false" ht="15" hidden="false" customHeight="false" outlineLevel="0" collapsed="false">
      <c r="A2" s="3" t="s">
        <v>36</v>
      </c>
    </row>
    <row r="4" customFormat="false" ht="30" hidden="false" customHeight="true" outlineLevel="0" collapsed="false">
      <c r="A4" s="5" t="s">
        <v>37</v>
      </c>
      <c r="B4" s="5" t="s">
        <v>38</v>
      </c>
      <c r="C4" s="5" t="s">
        <v>39</v>
      </c>
    </row>
    <row r="5" customFormat="false" ht="15" hidden="false" customHeight="false" outlineLevel="0" collapsed="false">
      <c r="A5" s="7" t="s">
        <v>40</v>
      </c>
      <c r="B5" s="11" t="n">
        <v>46295</v>
      </c>
      <c r="C5" s="3" t="s">
        <v>41</v>
      </c>
    </row>
    <row r="6" customFormat="false" ht="15" hidden="false" customHeight="false" outlineLevel="0" collapsed="false">
      <c r="A6" s="7" t="s">
        <v>42</v>
      </c>
      <c r="B6" s="12" t="n">
        <v>0.1</v>
      </c>
      <c r="C6" s="3" t="s">
        <v>43</v>
      </c>
    </row>
    <row r="7" customFormat="false" ht="15" hidden="false" customHeight="false" outlineLevel="0" collapsed="false">
      <c r="A7" s="7" t="s">
        <v>44</v>
      </c>
      <c r="B7" s="12" t="n">
        <v>0.15</v>
      </c>
      <c r="C7" s="3" t="s">
        <v>45</v>
      </c>
    </row>
    <row r="8" customFormat="false" ht="15" hidden="false" customHeight="false" outlineLevel="0" collapsed="false">
      <c r="A8" s="7" t="s">
        <v>46</v>
      </c>
      <c r="B8" s="13" t="n">
        <v>45</v>
      </c>
      <c r="C8" s="3" t="s">
        <v>47</v>
      </c>
    </row>
    <row r="9" customFormat="false" ht="15" hidden="false" customHeight="false" outlineLevel="0" collapsed="false">
      <c r="A9" s="7" t="s">
        <v>48</v>
      </c>
      <c r="B9" s="12" t="n">
        <v>0.9</v>
      </c>
      <c r="C9" s="3" t="s">
        <v>49</v>
      </c>
    </row>
    <row r="10" customFormat="false" ht="15" hidden="false" customHeight="false" outlineLevel="0" collapsed="false">
      <c r="A10" s="7" t="s">
        <v>50</v>
      </c>
      <c r="B10" s="13" t="n">
        <v>365</v>
      </c>
      <c r="C10" s="3" t="s">
        <v>51</v>
      </c>
    </row>
    <row r="12" customFormat="false" ht="30" hidden="false" customHeight="true" outlineLevel="0" collapsed="false">
      <c r="A12" s="5" t="s">
        <v>52</v>
      </c>
      <c r="B12" s="5" t="s">
        <v>53</v>
      </c>
      <c r="C12" s="5" t="s">
        <v>54</v>
      </c>
    </row>
    <row r="13" customFormat="false" ht="15" hidden="false" customHeight="false" outlineLevel="0" collapsed="false">
      <c r="A13" s="7" t="s">
        <v>55</v>
      </c>
      <c r="B13" s="14" t="n">
        <v>3</v>
      </c>
      <c r="C13" s="3"/>
    </row>
    <row r="14" customFormat="false" ht="15" hidden="false" customHeight="false" outlineLevel="0" collapsed="false">
      <c r="A14" s="7" t="s">
        <v>56</v>
      </c>
      <c r="B14" s="14" t="n">
        <v>1</v>
      </c>
      <c r="C14" s="3"/>
    </row>
    <row r="15" customFormat="false" ht="15" hidden="false" customHeight="false" outlineLevel="0" collapsed="false">
      <c r="A15" s="7" t="s">
        <v>57</v>
      </c>
      <c r="B15" s="14" t="n">
        <v>2</v>
      </c>
      <c r="C15" s="3"/>
    </row>
    <row r="16" customFormat="false" ht="15" hidden="false" customHeight="false" outlineLevel="0" collapsed="false">
      <c r="A16" s="7" t="s">
        <v>58</v>
      </c>
      <c r="B16" s="14" t="n">
        <v>3</v>
      </c>
      <c r="C16" s="3"/>
    </row>
    <row r="17" customFormat="false" ht="15" hidden="false" customHeight="false" outlineLevel="0" collapsed="false">
      <c r="A17" s="7" t="s">
        <v>59</v>
      </c>
      <c r="B17" s="14" t="n">
        <v>1</v>
      </c>
      <c r="C17" s="3"/>
    </row>
    <row r="18" customFormat="false" ht="15" hidden="false" customHeight="false" outlineLevel="0" collapsed="false">
      <c r="A18" s="7" t="s">
        <v>60</v>
      </c>
      <c r="B18" s="14" t="n">
        <v>1</v>
      </c>
      <c r="C18" s="3"/>
    </row>
    <row r="19" customFormat="false" ht="15" hidden="false" customHeight="false" outlineLevel="0" collapsed="false">
      <c r="A19" s="7" t="s">
        <v>61</v>
      </c>
      <c r="B19" s="14" t="n">
        <v>1</v>
      </c>
      <c r="C19" s="3"/>
    </row>
    <row r="20" customFormat="false" ht="15" hidden="false" customHeight="false" outlineLevel="0" collapsed="false">
      <c r="A20" s="7" t="s">
        <v>62</v>
      </c>
      <c r="B20" s="14" t="n">
        <v>2</v>
      </c>
      <c r="C20" s="3"/>
    </row>
    <row r="21" customFormat="false" ht="15" hidden="false" customHeight="false" outlineLevel="0" collapsed="false">
      <c r="A21" s="7" t="s">
        <v>63</v>
      </c>
      <c r="B21" s="14" t="n">
        <v>2</v>
      </c>
      <c r="C21" s="3"/>
    </row>
    <row r="22" customFormat="false" ht="15" hidden="false" customHeight="false" outlineLevel="0" collapsed="false">
      <c r="A22" s="7" t="s">
        <v>64</v>
      </c>
      <c r="B22" s="14" t="n">
        <v>1</v>
      </c>
      <c r="C22" s="3"/>
    </row>
    <row r="24" customFormat="false" ht="30" hidden="false" customHeight="true" outlineLevel="0" collapsed="false">
      <c r="A24" s="5" t="s">
        <v>65</v>
      </c>
      <c r="B24" s="5" t="s">
        <v>66</v>
      </c>
      <c r="C24" s="5" t="s">
        <v>67</v>
      </c>
    </row>
    <row r="25" customFormat="false" ht="15" hidden="false" customHeight="false" outlineLevel="0" collapsed="false">
      <c r="A25" s="7" t="s">
        <v>68</v>
      </c>
      <c r="B25" s="14" t="n">
        <v>5</v>
      </c>
      <c r="C25" s="3" t="s">
        <v>69</v>
      </c>
    </row>
    <row r="26" customFormat="false" ht="15" hidden="false" customHeight="false" outlineLevel="0" collapsed="false">
      <c r="A26" s="7" t="s">
        <v>70</v>
      </c>
      <c r="B26" s="14" t="n">
        <v>3</v>
      </c>
      <c r="C26" s="3" t="s">
        <v>71</v>
      </c>
    </row>
    <row r="27" customFormat="false" ht="15" hidden="false" customHeight="false" outlineLevel="0" collapsed="false">
      <c r="A27" s="7" t="s">
        <v>72</v>
      </c>
      <c r="B27" s="14" t="n">
        <v>1</v>
      </c>
      <c r="C27" s="3" t="s">
        <v>73</v>
      </c>
    </row>
    <row r="29" customFormat="false" ht="30" hidden="false" customHeight="true" outlineLevel="0" collapsed="false">
      <c r="A29" s="5" t="s">
        <v>74</v>
      </c>
      <c r="B29" s="5" t="s">
        <v>75</v>
      </c>
      <c r="C29" s="5" t="s">
        <v>39</v>
      </c>
    </row>
    <row r="30" customFormat="false" ht="15" hidden="false" customHeight="false" outlineLevel="0" collapsed="false">
      <c r="A30" s="7" t="s">
        <v>76</v>
      </c>
      <c r="B30" s="12" t="n">
        <v>0.6</v>
      </c>
      <c r="C30" s="3" t="s">
        <v>77</v>
      </c>
    </row>
    <row r="31" customFormat="false" ht="15" hidden="false" customHeight="false" outlineLevel="0" collapsed="false">
      <c r="A31" s="7" t="s">
        <v>78</v>
      </c>
      <c r="B31" s="12" t="n">
        <v>0.15</v>
      </c>
      <c r="C31" s="3"/>
    </row>
    <row r="32" customFormat="false" ht="15" hidden="false" customHeight="false" outlineLevel="0" collapsed="false">
      <c r="A32" s="7" t="s">
        <v>79</v>
      </c>
      <c r="B32" s="12" t="n">
        <v>0.15</v>
      </c>
      <c r="C32" s="3"/>
    </row>
    <row r="33" customFormat="false" ht="15" hidden="false" customHeight="false" outlineLevel="0" collapsed="false">
      <c r="A33" s="7" t="s">
        <v>80</v>
      </c>
      <c r="B33" s="12" t="n">
        <v>0.12</v>
      </c>
      <c r="C33" s="3"/>
    </row>
    <row r="34" customFormat="false" ht="15" hidden="false" customHeight="false" outlineLevel="0" collapsed="false">
      <c r="A34" s="7" t="s">
        <v>81</v>
      </c>
      <c r="B34" s="12" t="n">
        <v>0.85</v>
      </c>
      <c r="C34" s="3" t="s">
        <v>82</v>
      </c>
    </row>
    <row r="36" customFormat="false" ht="30" hidden="false" customHeight="true" outlineLevel="0" collapsed="false">
      <c r="A36" s="5" t="s">
        <v>83</v>
      </c>
      <c r="B36" s="5" t="s">
        <v>84</v>
      </c>
      <c r="C36" s="5" t="s">
        <v>85</v>
      </c>
    </row>
    <row r="37" customFormat="false" ht="15" hidden="false" customHeight="false" outlineLevel="0" collapsed="false">
      <c r="A37" s="7" t="s">
        <v>86</v>
      </c>
      <c r="B37" s="14" t="n">
        <v>1</v>
      </c>
      <c r="C37" s="3" t="s">
        <v>87</v>
      </c>
    </row>
    <row r="38" customFormat="false" ht="15" hidden="false" customHeight="false" outlineLevel="0" collapsed="false">
      <c r="A38" s="7" t="s">
        <v>88</v>
      </c>
      <c r="B38" s="14" t="n">
        <v>2</v>
      </c>
      <c r="C38" s="3" t="s">
        <v>87</v>
      </c>
    </row>
    <row r="39" customFormat="false" ht="15" hidden="false" customHeight="false" outlineLevel="0" collapsed="false">
      <c r="A39" s="7" t="s">
        <v>89</v>
      </c>
      <c r="B39" s="14" t="n">
        <v>3</v>
      </c>
      <c r="C39" s="3" t="s">
        <v>87</v>
      </c>
    </row>
    <row r="40" customFormat="false" ht="15" hidden="false" customHeight="false" outlineLevel="0" collapsed="false">
      <c r="A40" s="7" t="s">
        <v>90</v>
      </c>
      <c r="B40" s="14" t="n">
        <v>4</v>
      </c>
      <c r="C40" s="3" t="s">
        <v>87</v>
      </c>
    </row>
    <row r="41" customFormat="false" ht="15" hidden="false" customHeight="false" outlineLevel="0" collapsed="false">
      <c r="A41" s="7" t="s">
        <v>91</v>
      </c>
      <c r="B41" s="14" t="n">
        <v>5</v>
      </c>
      <c r="C41" s="3" t="s">
        <v>87</v>
      </c>
    </row>
    <row r="42" customFormat="false" ht="15" hidden="false" customHeight="false" outlineLevel="0" collapsed="false">
      <c r="A42" s="7" t="s">
        <v>70</v>
      </c>
      <c r="B42" s="14" t="n">
        <v>6</v>
      </c>
      <c r="C42" s="3" t="s">
        <v>87</v>
      </c>
    </row>
    <row r="43" customFormat="false" ht="15" hidden="false" customHeight="false" outlineLevel="0" collapsed="false">
      <c r="A43" s="7" t="s">
        <v>92</v>
      </c>
      <c r="B43" s="14" t="n">
        <v>7</v>
      </c>
      <c r="C43" s="3" t="s">
        <v>93</v>
      </c>
    </row>
    <row r="44" customFormat="false" ht="15" hidden="false" customHeight="false" outlineLevel="0" collapsed="false">
      <c r="A44" s="7" t="s">
        <v>94</v>
      </c>
      <c r="B44" s="14" t="n">
        <v>8</v>
      </c>
      <c r="C44" s="3" t="s">
        <v>95</v>
      </c>
    </row>
    <row r="45" customFormat="false" ht="15" hidden="false" customHeight="false" outlineLevel="0" collapsed="false">
      <c r="A45" s="7" t="s">
        <v>96</v>
      </c>
      <c r="B45" s="14" t="n">
        <v>9</v>
      </c>
      <c r="C45" s="3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A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7" min="15" style="0" width="9"/>
    <col collapsed="false" customWidth="true" hidden="false" outlineLevel="0" max="18" min="18" style="0" width="20"/>
    <col collapsed="false" customWidth="true" hidden="false" outlineLevel="0" max="19" min="19" style="0" width="7"/>
    <col collapsed="false" customWidth="true" hidden="false" outlineLevel="0" max="20" min="20" style="0" width="12"/>
    <col collapsed="false" customWidth="true" hidden="false" outlineLevel="0" max="26" min="21" style="0" width="11"/>
    <col collapsed="false" customWidth="true" hidden="false" outlineLevel="0" max="27" min="27" style="0" width="90"/>
  </cols>
  <sheetData>
    <row r="1" customFormat="false" ht="17.35" hidden="false" customHeight="false" outlineLevel="0" collapsed="false">
      <c r="A1" s="10" t="s">
        <v>97</v>
      </c>
    </row>
    <row r="2" customFormat="false" ht="15" hidden="false" customHeight="false" outlineLevel="0" collapsed="false">
      <c r="A2" s="3" t="s">
        <v>98</v>
      </c>
    </row>
    <row r="4" customFormat="false" ht="30" hidden="false" customHeight="true" outlineLevel="0" collapsed="false">
      <c r="A4" s="5" t="s">
        <v>99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107</v>
      </c>
      <c r="J4" s="5" t="s">
        <v>108</v>
      </c>
      <c r="K4" s="5" t="s">
        <v>109</v>
      </c>
      <c r="L4" s="5" t="s">
        <v>110</v>
      </c>
      <c r="M4" s="5" t="s">
        <v>111</v>
      </c>
      <c r="N4" s="5" t="s">
        <v>112</v>
      </c>
      <c r="O4" s="5" t="s">
        <v>113</v>
      </c>
      <c r="P4" s="5" t="s">
        <v>114</v>
      </c>
      <c r="Q4" s="5" t="s">
        <v>115</v>
      </c>
      <c r="R4" s="5" t="s">
        <v>116</v>
      </c>
      <c r="S4" s="5" t="s">
        <v>117</v>
      </c>
      <c r="T4" s="5" t="s">
        <v>118</v>
      </c>
      <c r="U4" s="5" t="s">
        <v>119</v>
      </c>
      <c r="V4" s="5" t="s">
        <v>120</v>
      </c>
      <c r="W4" s="5" t="s">
        <v>121</v>
      </c>
      <c r="X4" s="5" t="s">
        <v>122</v>
      </c>
      <c r="Y4" s="5" t="s">
        <v>123</v>
      </c>
      <c r="Z4" s="5" t="s">
        <v>124</v>
      </c>
      <c r="AA4" s="5" t="s">
        <v>125</v>
      </c>
    </row>
    <row r="5" customFormat="false" ht="15" hidden="false" customHeight="false" outlineLevel="0" collapsed="false">
      <c r="A5" s="8" t="s">
        <v>126</v>
      </c>
      <c r="B5" s="8" t="s">
        <v>127</v>
      </c>
      <c r="C5" s="8" t="s">
        <v>128</v>
      </c>
      <c r="D5" s="8" t="s">
        <v>129</v>
      </c>
      <c r="E5" s="8" t="s">
        <v>130</v>
      </c>
      <c r="F5" s="15" t="n">
        <v>2840000</v>
      </c>
      <c r="G5" s="15" t="n">
        <v>2380000</v>
      </c>
      <c r="H5" s="16" t="s">
        <v>131</v>
      </c>
      <c r="I5" s="8" t="s">
        <v>132</v>
      </c>
      <c r="J5" s="11" t="n">
        <v>47299</v>
      </c>
      <c r="K5" s="17" t="n">
        <v>4</v>
      </c>
      <c r="L5" s="17" t="n">
        <v>4</v>
      </c>
      <c r="M5" s="17" t="n">
        <v>0</v>
      </c>
      <c r="N5" s="18" t="n">
        <v>1.65</v>
      </c>
      <c r="O5" s="18" t="n">
        <v>1.25</v>
      </c>
      <c r="P5" s="18" t="n">
        <v>1.89</v>
      </c>
      <c r="Q5" s="18" t="n">
        <v>2.15</v>
      </c>
      <c r="R5" s="8" t="s">
        <v>133</v>
      </c>
      <c r="S5" s="16" t="s">
        <v>134</v>
      </c>
      <c r="T5" s="18" t="n">
        <v>3</v>
      </c>
      <c r="U5" s="18" t="n">
        <v>1.14</v>
      </c>
      <c r="V5" s="11" t="n">
        <v>46142</v>
      </c>
      <c r="W5" s="11" t="n">
        <v>46130</v>
      </c>
      <c r="X5" s="11" t="n">
        <v>46248</v>
      </c>
      <c r="Y5" s="11" t="n">
        <v>46240</v>
      </c>
      <c r="Z5" s="11" t="n">
        <v>46283</v>
      </c>
      <c r="AA5" s="19" t="s">
        <v>135</v>
      </c>
    </row>
    <row r="6" customFormat="false" ht="15" hidden="false" customHeight="false" outlineLevel="0" collapsed="false">
      <c r="A6" s="8" t="s">
        <v>136</v>
      </c>
      <c r="B6" s="8" t="s">
        <v>137</v>
      </c>
      <c r="C6" s="8" t="s">
        <v>138</v>
      </c>
      <c r="D6" s="8" t="s">
        <v>139</v>
      </c>
      <c r="E6" s="8" t="s">
        <v>140</v>
      </c>
      <c r="F6" s="15" t="n">
        <v>9500000</v>
      </c>
      <c r="G6" s="15" t="n">
        <v>9120000</v>
      </c>
      <c r="H6" s="16" t="s">
        <v>141</v>
      </c>
      <c r="I6" s="8" t="s">
        <v>142</v>
      </c>
      <c r="J6" s="11" t="n">
        <v>47938</v>
      </c>
      <c r="K6" s="17" t="n">
        <v>3</v>
      </c>
      <c r="L6" s="17" t="n">
        <v>3</v>
      </c>
      <c r="M6" s="17" t="n">
        <v>0</v>
      </c>
      <c r="N6" s="18" t="n">
        <v>1.38</v>
      </c>
      <c r="O6" s="18" t="n">
        <v>1.3</v>
      </c>
      <c r="P6" s="18" t="n">
        <v>1.6</v>
      </c>
      <c r="Q6" s="18" t="n">
        <v>1.62</v>
      </c>
      <c r="R6" s="8" t="s">
        <v>143</v>
      </c>
      <c r="S6" s="16" t="s">
        <v>134</v>
      </c>
      <c r="T6" s="12" t="n">
        <v>0.75</v>
      </c>
      <c r="U6" s="12" t="n">
        <v>0.66</v>
      </c>
      <c r="V6" s="11" t="n">
        <v>46142</v>
      </c>
      <c r="W6" s="11" t="n">
        <v>46122</v>
      </c>
      <c r="X6" s="11" t="n">
        <v>46248</v>
      </c>
      <c r="Y6" s="11" t="n">
        <v>46235</v>
      </c>
      <c r="Z6" s="11" t="s">
        <v>144</v>
      </c>
      <c r="AA6" s="19" t="s">
        <v>145</v>
      </c>
    </row>
    <row r="7" customFormat="false" ht="15" hidden="false" customHeight="false" outlineLevel="0" collapsed="false">
      <c r="A7" s="8" t="s">
        <v>146</v>
      </c>
      <c r="B7" s="8" t="s">
        <v>147</v>
      </c>
      <c r="C7" s="8" t="s">
        <v>128</v>
      </c>
      <c r="D7" s="8" t="s">
        <v>148</v>
      </c>
      <c r="E7" s="8" t="s">
        <v>130</v>
      </c>
      <c r="F7" s="15" t="n">
        <v>3200000</v>
      </c>
      <c r="G7" s="15" t="n">
        <v>2400000</v>
      </c>
      <c r="H7" s="16" t="s">
        <v>131</v>
      </c>
      <c r="I7" s="8" t="s">
        <v>149</v>
      </c>
      <c r="J7" s="11" t="n">
        <v>47087</v>
      </c>
      <c r="K7" s="17" t="n">
        <v>3</v>
      </c>
      <c r="L7" s="17" t="n">
        <v>3</v>
      </c>
      <c r="M7" s="17" t="n">
        <v>0</v>
      </c>
      <c r="N7" s="18" t="n">
        <v>1.4</v>
      </c>
      <c r="O7" s="18" t="n">
        <v>1.5</v>
      </c>
      <c r="P7" s="18" t="n">
        <v>1.92</v>
      </c>
      <c r="Q7" s="18" t="n">
        <v>1.85</v>
      </c>
      <c r="R7" s="8" t="s">
        <v>133</v>
      </c>
      <c r="S7" s="16" t="s">
        <v>134</v>
      </c>
      <c r="T7" s="18" t="n">
        <v>3</v>
      </c>
      <c r="U7" s="18" t="n">
        <v>2.1</v>
      </c>
      <c r="V7" s="11" t="n">
        <v>46142</v>
      </c>
      <c r="W7" s="11" t="n">
        <v>46134</v>
      </c>
      <c r="X7" s="11" t="n">
        <v>46248</v>
      </c>
      <c r="Y7" s="11" t="n">
        <v>46246</v>
      </c>
      <c r="Z7" s="11" t="n">
        <v>46280</v>
      </c>
      <c r="AA7" s="20"/>
    </row>
    <row r="8" customFormat="false" ht="15" hidden="false" customHeight="false" outlineLevel="0" collapsed="false">
      <c r="A8" s="8" t="s">
        <v>150</v>
      </c>
      <c r="B8" s="8" t="s">
        <v>151</v>
      </c>
      <c r="C8" s="8" t="s">
        <v>138</v>
      </c>
      <c r="D8" s="8" t="s">
        <v>152</v>
      </c>
      <c r="E8" s="8" t="s">
        <v>140</v>
      </c>
      <c r="F8" s="15" t="n">
        <v>14000000</v>
      </c>
      <c r="G8" s="15" t="n">
        <v>13700000</v>
      </c>
      <c r="H8" s="16" t="s">
        <v>141</v>
      </c>
      <c r="I8" s="8" t="s">
        <v>149</v>
      </c>
      <c r="J8" s="11" t="n">
        <v>47391</v>
      </c>
      <c r="K8" s="17" t="n">
        <v>4</v>
      </c>
      <c r="L8" s="17" t="n">
        <v>5</v>
      </c>
      <c r="M8" s="17" t="n">
        <v>0</v>
      </c>
      <c r="N8" s="18" t="n">
        <v>1.3</v>
      </c>
      <c r="O8" s="18" t="n">
        <v>1.2</v>
      </c>
      <c r="P8" s="18" t="n">
        <v>1.38</v>
      </c>
      <c r="Q8" s="18" t="n">
        <v>1.21</v>
      </c>
      <c r="R8" s="8" t="s">
        <v>143</v>
      </c>
      <c r="S8" s="16" t="s">
        <v>134</v>
      </c>
      <c r="T8" s="12" t="n">
        <v>0.75</v>
      </c>
      <c r="U8" s="12" t="n">
        <v>0.72</v>
      </c>
      <c r="V8" s="11" t="n">
        <v>46142</v>
      </c>
      <c r="W8" s="11" t="n">
        <v>46140</v>
      </c>
      <c r="X8" s="11" t="n">
        <v>46248</v>
      </c>
      <c r="Y8" s="11" t="n">
        <v>46245</v>
      </c>
      <c r="Z8" s="11" t="s">
        <v>144</v>
      </c>
      <c r="AA8" s="19" t="s">
        <v>153</v>
      </c>
    </row>
    <row r="9" customFormat="false" ht="15" hidden="false" customHeight="false" outlineLevel="0" collapsed="false">
      <c r="A9" s="8" t="s">
        <v>154</v>
      </c>
      <c r="B9" s="8" t="s">
        <v>155</v>
      </c>
      <c r="C9" s="8" t="s">
        <v>138</v>
      </c>
      <c r="D9" s="8" t="s">
        <v>156</v>
      </c>
      <c r="E9" s="8" t="s">
        <v>140</v>
      </c>
      <c r="F9" s="15" t="n">
        <v>8200000</v>
      </c>
      <c r="G9" s="15" t="n">
        <v>7950000</v>
      </c>
      <c r="H9" s="16" t="s">
        <v>141</v>
      </c>
      <c r="I9" s="8" t="s">
        <v>142</v>
      </c>
      <c r="J9" s="11" t="n">
        <v>47634</v>
      </c>
      <c r="K9" s="17" t="n">
        <v>5</v>
      </c>
      <c r="L9" s="17" t="n">
        <v>6</v>
      </c>
      <c r="M9" s="17" t="n">
        <v>0</v>
      </c>
      <c r="N9" s="18" t="n">
        <v>1.18</v>
      </c>
      <c r="O9" s="18" t="n">
        <v>1.25</v>
      </c>
      <c r="P9" s="18" t="n">
        <v>1.19</v>
      </c>
      <c r="Q9" s="18" t="n">
        <v>1.08</v>
      </c>
      <c r="R9" s="8" t="s">
        <v>157</v>
      </c>
      <c r="S9" s="16" t="s">
        <v>158</v>
      </c>
      <c r="T9" s="15" t="n">
        <v>500000</v>
      </c>
      <c r="U9" s="15" t="n">
        <v>610000</v>
      </c>
      <c r="V9" s="11" t="n">
        <v>46142</v>
      </c>
      <c r="W9" s="11" t="n">
        <v>46137</v>
      </c>
      <c r="X9" s="11" t="n">
        <v>46248</v>
      </c>
      <c r="Y9" s="11" t="n">
        <v>46248</v>
      </c>
      <c r="Z9" s="11" t="s">
        <v>144</v>
      </c>
      <c r="AA9" s="19" t="s">
        <v>159</v>
      </c>
    </row>
    <row r="10" customFormat="false" ht="15" hidden="false" customHeight="false" outlineLevel="0" collapsed="false">
      <c r="A10" s="8" t="s">
        <v>160</v>
      </c>
      <c r="B10" s="8" t="s">
        <v>161</v>
      </c>
      <c r="C10" s="8" t="s">
        <v>128</v>
      </c>
      <c r="D10" s="8" t="s">
        <v>162</v>
      </c>
      <c r="E10" s="8" t="s">
        <v>163</v>
      </c>
      <c r="F10" s="15" t="n">
        <v>4500000</v>
      </c>
      <c r="G10" s="15" t="n">
        <v>4140000</v>
      </c>
      <c r="H10" s="16" t="s">
        <v>131</v>
      </c>
      <c r="I10" s="8" t="s">
        <v>149</v>
      </c>
      <c r="J10" s="11" t="n">
        <v>46568</v>
      </c>
      <c r="K10" s="17" t="n">
        <v>4</v>
      </c>
      <c r="L10" s="17" t="n">
        <v>4</v>
      </c>
      <c r="M10" s="17" t="n">
        <v>0</v>
      </c>
      <c r="N10" s="18" t="n">
        <v>1.35</v>
      </c>
      <c r="O10" s="18" t="n">
        <v>1.25</v>
      </c>
      <c r="P10" s="18" t="n">
        <v>1.47</v>
      </c>
      <c r="Q10" s="18" t="n">
        <v>1.44</v>
      </c>
      <c r="R10" s="8" t="s">
        <v>164</v>
      </c>
      <c r="S10" s="16" t="s">
        <v>134</v>
      </c>
      <c r="T10" s="18" t="n">
        <v>3</v>
      </c>
      <c r="U10" s="18" t="n">
        <v>2.6</v>
      </c>
      <c r="V10" s="11" t="n">
        <v>46142</v>
      </c>
      <c r="W10" s="11" t="n">
        <v>46127</v>
      </c>
      <c r="X10" s="11" t="n">
        <v>46248</v>
      </c>
      <c r="Y10" s="11" t="n">
        <v>46244</v>
      </c>
      <c r="Z10" s="11" t="n">
        <v>46284</v>
      </c>
      <c r="AA10" s="19" t="s">
        <v>165</v>
      </c>
    </row>
    <row r="11" customFormat="false" ht="15" hidden="false" customHeight="false" outlineLevel="0" collapsed="false">
      <c r="A11" s="8" t="s">
        <v>166</v>
      </c>
      <c r="B11" s="8" t="s">
        <v>167</v>
      </c>
      <c r="C11" s="8" t="s">
        <v>128</v>
      </c>
      <c r="D11" s="8" t="s">
        <v>168</v>
      </c>
      <c r="E11" s="8" t="s">
        <v>169</v>
      </c>
      <c r="F11" s="15" t="n">
        <v>6100000</v>
      </c>
      <c r="G11" s="15" t="n">
        <v>5200000</v>
      </c>
      <c r="H11" s="16" t="s">
        <v>141</v>
      </c>
      <c r="I11" s="8" t="s">
        <v>142</v>
      </c>
      <c r="J11" s="11" t="n">
        <v>47542</v>
      </c>
      <c r="K11" s="17" t="n">
        <v>4</v>
      </c>
      <c r="L11" s="17" t="n">
        <v>5</v>
      </c>
      <c r="M11" s="17" t="n">
        <v>0</v>
      </c>
      <c r="N11" s="18" t="n">
        <v>1.1</v>
      </c>
      <c r="O11" s="18" t="n">
        <v>1.2</v>
      </c>
      <c r="P11" s="18" t="n">
        <v>1.31</v>
      </c>
      <c r="Q11" s="18" t="n">
        <v>1.18</v>
      </c>
      <c r="R11" s="8" t="s">
        <v>133</v>
      </c>
      <c r="S11" s="16" t="s">
        <v>134</v>
      </c>
      <c r="T11" s="18" t="n">
        <v>3.5</v>
      </c>
      <c r="U11" s="18" t="n">
        <v>3.3</v>
      </c>
      <c r="V11" s="11" t="n">
        <v>46142</v>
      </c>
      <c r="W11" s="11" t="n">
        <v>46164</v>
      </c>
      <c r="X11" s="11" t="n">
        <v>46248</v>
      </c>
      <c r="Y11" s="21"/>
      <c r="Z11" s="11" t="s">
        <v>144</v>
      </c>
      <c r="AA11" s="19" t="s">
        <v>170</v>
      </c>
    </row>
    <row r="12" customFormat="false" ht="15" hidden="false" customHeight="false" outlineLevel="0" collapsed="false">
      <c r="A12" s="8" t="s">
        <v>171</v>
      </c>
      <c r="B12" s="8" t="s">
        <v>172</v>
      </c>
      <c r="C12" s="8" t="s">
        <v>128</v>
      </c>
      <c r="D12" s="8" t="s">
        <v>148</v>
      </c>
      <c r="E12" s="8" t="s">
        <v>173</v>
      </c>
      <c r="F12" s="15" t="n">
        <v>2100000</v>
      </c>
      <c r="G12" s="15" t="n">
        <v>1600000</v>
      </c>
      <c r="H12" s="16" t="s">
        <v>141</v>
      </c>
      <c r="I12" s="8" t="s">
        <v>142</v>
      </c>
      <c r="J12" s="11" t="n">
        <v>47361</v>
      </c>
      <c r="K12" s="17" t="n">
        <v>2</v>
      </c>
      <c r="L12" s="17" t="n">
        <v>2</v>
      </c>
      <c r="M12" s="17" t="n">
        <v>0</v>
      </c>
      <c r="N12" s="18" t="n">
        <v>1.55</v>
      </c>
      <c r="O12" s="18" t="n">
        <v>1.25</v>
      </c>
      <c r="P12" s="18" t="n">
        <v>2.35</v>
      </c>
      <c r="Q12" s="18" t="n">
        <v>2.4</v>
      </c>
      <c r="R12" s="8" t="s">
        <v>133</v>
      </c>
      <c r="S12" s="16" t="s">
        <v>134</v>
      </c>
      <c r="T12" s="18" t="n">
        <v>3</v>
      </c>
      <c r="U12" s="18" t="n">
        <v>1.3</v>
      </c>
      <c r="V12" s="11" t="n">
        <v>46142</v>
      </c>
      <c r="W12" s="11" t="n">
        <v>46114</v>
      </c>
      <c r="X12" s="11" t="n">
        <v>46248</v>
      </c>
      <c r="Y12" s="11" t="n">
        <v>46233</v>
      </c>
      <c r="Z12" s="11" t="s">
        <v>144</v>
      </c>
      <c r="AA12" s="20"/>
    </row>
    <row r="13" customFormat="false" ht="15" hidden="false" customHeight="false" outlineLevel="0" collapsed="false">
      <c r="A13" s="8" t="s">
        <v>174</v>
      </c>
      <c r="B13" s="8" t="s">
        <v>175</v>
      </c>
      <c r="C13" s="8" t="s">
        <v>138</v>
      </c>
      <c r="D13" s="8" t="s">
        <v>176</v>
      </c>
      <c r="E13" s="8" t="s">
        <v>140</v>
      </c>
      <c r="F13" s="15" t="n">
        <v>11500000</v>
      </c>
      <c r="G13" s="15" t="n">
        <v>11200000</v>
      </c>
      <c r="H13" s="16" t="s">
        <v>141</v>
      </c>
      <c r="I13" s="8" t="s">
        <v>149</v>
      </c>
      <c r="J13" s="11" t="n">
        <v>46752</v>
      </c>
      <c r="K13" s="17" t="n">
        <v>5</v>
      </c>
      <c r="L13" s="17" t="n">
        <v>7</v>
      </c>
      <c r="M13" s="17" t="n">
        <v>0</v>
      </c>
      <c r="N13" s="18" t="n">
        <v>0.98</v>
      </c>
      <c r="O13" s="18" t="n">
        <v>1.25</v>
      </c>
      <c r="P13" s="18" t="n">
        <v>1.3</v>
      </c>
      <c r="Q13" s="18" t="n">
        <v>1.12</v>
      </c>
      <c r="R13" s="8" t="s">
        <v>143</v>
      </c>
      <c r="S13" s="16" t="s">
        <v>134</v>
      </c>
      <c r="T13" s="12" t="n">
        <v>0.75</v>
      </c>
      <c r="U13" s="12" t="n">
        <v>0.79</v>
      </c>
      <c r="V13" s="11" t="n">
        <v>46142</v>
      </c>
      <c r="W13" s="11" t="n">
        <v>46141</v>
      </c>
      <c r="X13" s="11" t="n">
        <v>46248</v>
      </c>
      <c r="Y13" s="11" t="n">
        <v>46247</v>
      </c>
      <c r="Z13" s="11" t="s">
        <v>144</v>
      </c>
      <c r="AA13" s="19" t="s">
        <v>177</v>
      </c>
    </row>
    <row r="14" customFormat="false" ht="15" hidden="false" customHeight="false" outlineLevel="0" collapsed="false">
      <c r="A14" s="8" t="s">
        <v>178</v>
      </c>
      <c r="B14" s="8" t="s">
        <v>179</v>
      </c>
      <c r="C14" s="8" t="s">
        <v>128</v>
      </c>
      <c r="D14" s="8" t="s">
        <v>180</v>
      </c>
      <c r="E14" s="8" t="s">
        <v>181</v>
      </c>
      <c r="F14" s="15" t="n">
        <v>3000000</v>
      </c>
      <c r="G14" s="15" t="n">
        <v>2100000</v>
      </c>
      <c r="H14" s="16" t="s">
        <v>131</v>
      </c>
      <c r="I14" s="8" t="s">
        <v>149</v>
      </c>
      <c r="J14" s="11" t="n">
        <v>46477</v>
      </c>
      <c r="K14" s="17" t="n">
        <v>4</v>
      </c>
      <c r="L14" s="17" t="n">
        <v>4</v>
      </c>
      <c r="M14" s="17" t="n">
        <v>0</v>
      </c>
      <c r="N14" s="18" t="n">
        <v>1.45</v>
      </c>
      <c r="O14" s="18" t="n">
        <v>1.25</v>
      </c>
      <c r="P14" s="18" t="n">
        <v>1.55</v>
      </c>
      <c r="Q14" s="18" t="n">
        <v>1.52</v>
      </c>
      <c r="R14" s="8" t="s">
        <v>164</v>
      </c>
      <c r="S14" s="16" t="s">
        <v>134</v>
      </c>
      <c r="T14" s="18" t="n">
        <v>2.5</v>
      </c>
      <c r="U14" s="18" t="n">
        <v>1.8</v>
      </c>
      <c r="V14" s="11" t="n">
        <v>46142</v>
      </c>
      <c r="W14" s="11" t="n">
        <v>46132</v>
      </c>
      <c r="X14" s="11" t="n">
        <v>46248</v>
      </c>
      <c r="Y14" s="11" t="n">
        <v>46242</v>
      </c>
      <c r="Z14" s="11" t="n">
        <v>46277</v>
      </c>
      <c r="AA14" s="19" t="s">
        <v>182</v>
      </c>
    </row>
    <row r="15" customFormat="false" ht="15" hidden="false" customHeight="false" outlineLevel="0" collapsed="false">
      <c r="A15" s="8" t="s">
        <v>183</v>
      </c>
      <c r="B15" s="8" t="s">
        <v>184</v>
      </c>
      <c r="C15" s="8" t="s">
        <v>138</v>
      </c>
      <c r="D15" s="8" t="s">
        <v>185</v>
      </c>
      <c r="E15" s="8" t="s">
        <v>140</v>
      </c>
      <c r="F15" s="15" t="n">
        <v>7800000</v>
      </c>
      <c r="G15" s="15" t="n">
        <v>7400000</v>
      </c>
      <c r="H15" s="16" t="s">
        <v>141</v>
      </c>
      <c r="I15" s="8" t="s">
        <v>142</v>
      </c>
      <c r="J15" s="11" t="n">
        <v>48244</v>
      </c>
      <c r="K15" s="17" t="n">
        <v>3</v>
      </c>
      <c r="L15" s="17" t="n">
        <v>3</v>
      </c>
      <c r="M15" s="17" t="n">
        <v>0</v>
      </c>
      <c r="N15" s="18" t="n">
        <v>1.45</v>
      </c>
      <c r="O15" s="18" t="n">
        <v>1.25</v>
      </c>
      <c r="P15" s="18" t="n">
        <v>1.53</v>
      </c>
      <c r="Q15" s="18" t="n">
        <v>1.55</v>
      </c>
      <c r="R15" s="8" t="s">
        <v>143</v>
      </c>
      <c r="S15" s="16" t="s">
        <v>134</v>
      </c>
      <c r="T15" s="12" t="n">
        <v>0.75</v>
      </c>
      <c r="U15" s="12" t="n">
        <v>0.62</v>
      </c>
      <c r="V15" s="11" t="n">
        <v>46142</v>
      </c>
      <c r="W15" s="11" t="n">
        <v>46128</v>
      </c>
      <c r="X15" s="11" t="n">
        <v>46248</v>
      </c>
      <c r="Y15" s="11" t="n">
        <v>46239</v>
      </c>
      <c r="Z15" s="11" t="s">
        <v>144</v>
      </c>
      <c r="AA15" s="20"/>
    </row>
    <row r="16" customFormat="false" ht="15" hidden="false" customHeight="false" outlineLevel="0" collapsed="false">
      <c r="A16" s="8" t="s">
        <v>186</v>
      </c>
      <c r="B16" s="8" t="s">
        <v>187</v>
      </c>
      <c r="C16" s="8" t="s">
        <v>128</v>
      </c>
      <c r="D16" s="8" t="s">
        <v>129</v>
      </c>
      <c r="E16" s="8" t="s">
        <v>130</v>
      </c>
      <c r="F16" s="15" t="n">
        <v>3600000</v>
      </c>
      <c r="G16" s="15" t="n">
        <v>3000000</v>
      </c>
      <c r="H16" s="16" t="s">
        <v>131</v>
      </c>
      <c r="I16" s="8" t="s">
        <v>149</v>
      </c>
      <c r="J16" s="11" t="n">
        <v>46873</v>
      </c>
      <c r="K16" s="17" t="n">
        <v>4</v>
      </c>
      <c r="L16" s="17" t="n">
        <v>3</v>
      </c>
      <c r="M16" s="17" t="n">
        <v>0</v>
      </c>
      <c r="N16" s="18" t="n">
        <v>1.5</v>
      </c>
      <c r="O16" s="18" t="n">
        <v>1.25</v>
      </c>
      <c r="P16" s="18" t="n">
        <v>1.7</v>
      </c>
      <c r="Q16" s="18" t="n">
        <v>1.95</v>
      </c>
      <c r="R16" s="8" t="s">
        <v>133</v>
      </c>
      <c r="S16" s="16" t="s">
        <v>134</v>
      </c>
      <c r="T16" s="18" t="n">
        <v>3</v>
      </c>
      <c r="U16" s="18" t="n">
        <v>1.6</v>
      </c>
      <c r="V16" s="11" t="n">
        <v>46142</v>
      </c>
      <c r="W16" s="11" t="n">
        <v>46124</v>
      </c>
      <c r="X16" s="11" t="n">
        <v>46248</v>
      </c>
      <c r="Y16" s="11" t="n">
        <v>46238</v>
      </c>
      <c r="Z16" s="11" t="n">
        <v>46281</v>
      </c>
      <c r="AA16" s="19" t="s">
        <v>188</v>
      </c>
    </row>
    <row r="17" customFormat="false" ht="15" hidden="false" customHeight="false" outlineLevel="0" collapsed="false">
      <c r="A17" s="8" t="s">
        <v>189</v>
      </c>
      <c r="B17" s="8" t="s">
        <v>190</v>
      </c>
      <c r="C17" s="8" t="s">
        <v>128</v>
      </c>
      <c r="D17" s="8" t="s">
        <v>191</v>
      </c>
      <c r="E17" s="8" t="s">
        <v>173</v>
      </c>
      <c r="F17" s="15" t="n">
        <v>2400000</v>
      </c>
      <c r="G17" s="15" t="n">
        <v>2200000</v>
      </c>
      <c r="H17" s="16" t="s">
        <v>141</v>
      </c>
      <c r="I17" s="8" t="s">
        <v>142</v>
      </c>
      <c r="J17" s="11" t="n">
        <v>47422</v>
      </c>
      <c r="K17" s="17" t="n">
        <v>5</v>
      </c>
      <c r="L17" s="17" t="n">
        <v>5</v>
      </c>
      <c r="M17" s="17" t="n">
        <v>18</v>
      </c>
      <c r="N17" s="18" t="n">
        <v>1.05</v>
      </c>
      <c r="O17" s="18" t="n">
        <v>1.25</v>
      </c>
      <c r="P17" s="18" t="n">
        <v>1.33</v>
      </c>
      <c r="Q17" s="18" t="n">
        <v>1.29</v>
      </c>
      <c r="R17" s="8" t="s">
        <v>192</v>
      </c>
      <c r="S17" s="16" t="s">
        <v>158</v>
      </c>
      <c r="T17" s="15" t="n">
        <v>250000</v>
      </c>
      <c r="U17" s="15" t="n">
        <v>290000</v>
      </c>
      <c r="V17" s="11" t="n">
        <v>46142</v>
      </c>
      <c r="W17" s="11" t="n">
        <v>46139</v>
      </c>
      <c r="X17" s="11" t="n">
        <v>46248</v>
      </c>
      <c r="Y17" s="11" t="n">
        <v>46248</v>
      </c>
      <c r="Z17" s="11" t="s">
        <v>144</v>
      </c>
      <c r="AA17" s="19" t="s">
        <v>193</v>
      </c>
    </row>
    <row r="18" customFormat="false" ht="15" hidden="false" customHeight="false" outlineLevel="0" collapsed="false">
      <c r="A18" s="8" t="s">
        <v>194</v>
      </c>
      <c r="B18" s="8" t="s">
        <v>195</v>
      </c>
      <c r="C18" s="8" t="s">
        <v>128</v>
      </c>
      <c r="D18" s="8" t="s">
        <v>196</v>
      </c>
      <c r="E18" s="8" t="s">
        <v>130</v>
      </c>
      <c r="F18" s="15" t="n">
        <v>5500000</v>
      </c>
      <c r="G18" s="15" t="n">
        <v>4600000</v>
      </c>
      <c r="H18" s="16" t="s">
        <v>131</v>
      </c>
      <c r="I18" s="8" t="s">
        <v>149</v>
      </c>
      <c r="J18" s="11" t="n">
        <v>47026</v>
      </c>
      <c r="K18" s="17" t="n">
        <v>4</v>
      </c>
      <c r="L18" s="17" t="n">
        <v>4</v>
      </c>
      <c r="M18" s="17" t="n">
        <v>0</v>
      </c>
      <c r="N18" s="18" t="n">
        <v>1.3</v>
      </c>
      <c r="O18" s="18" t="n">
        <v>1.25</v>
      </c>
      <c r="P18" s="18" t="n">
        <v>1.78</v>
      </c>
      <c r="Q18" s="18" t="n">
        <v>1.7</v>
      </c>
      <c r="R18" s="8" t="s">
        <v>133</v>
      </c>
      <c r="S18" s="16" t="s">
        <v>134</v>
      </c>
      <c r="T18" s="18" t="n">
        <v>3</v>
      </c>
      <c r="U18" s="18" t="n">
        <v>2.8</v>
      </c>
      <c r="V18" s="11" t="n">
        <v>46142</v>
      </c>
      <c r="W18" s="11" t="n">
        <v>46133</v>
      </c>
      <c r="X18" s="11" t="n">
        <v>46248</v>
      </c>
      <c r="Y18" s="11" t="n">
        <v>46243</v>
      </c>
      <c r="Z18" s="11" t="n">
        <v>46282</v>
      </c>
      <c r="AA18" s="19" t="s">
        <v>197</v>
      </c>
    </row>
    <row r="19" customFormat="false" ht="15" hidden="false" customHeight="false" outlineLevel="0" collapsed="false">
      <c r="A19" s="8" t="s">
        <v>198</v>
      </c>
      <c r="B19" s="8" t="s">
        <v>199</v>
      </c>
      <c r="C19" s="8" t="s">
        <v>128</v>
      </c>
      <c r="D19" s="8" t="s">
        <v>148</v>
      </c>
      <c r="E19" s="8" t="s">
        <v>173</v>
      </c>
      <c r="F19" s="15" t="n">
        <v>1800000</v>
      </c>
      <c r="G19" s="15" t="n">
        <v>1200000</v>
      </c>
      <c r="H19" s="16" t="s">
        <v>141</v>
      </c>
      <c r="I19" s="8" t="s">
        <v>142</v>
      </c>
      <c r="J19" s="11" t="n">
        <v>46811</v>
      </c>
      <c r="K19" s="17" t="n">
        <v>3</v>
      </c>
      <c r="L19" s="17" t="n">
        <v>3</v>
      </c>
      <c r="M19" s="17" t="n">
        <v>0</v>
      </c>
      <c r="N19" s="18" t="n">
        <v>1.4</v>
      </c>
      <c r="O19" s="18" t="n">
        <v>1.25</v>
      </c>
      <c r="P19" s="18" t="n">
        <v>2</v>
      </c>
      <c r="Q19" s="18" t="n">
        <v>2.05</v>
      </c>
      <c r="R19" s="8" t="s">
        <v>133</v>
      </c>
      <c r="S19" s="16" t="s">
        <v>134</v>
      </c>
      <c r="T19" s="18" t="n">
        <v>3</v>
      </c>
      <c r="U19" s="18" t="n">
        <v>1.5</v>
      </c>
      <c r="V19" s="11" t="n">
        <v>46142</v>
      </c>
      <c r="W19" s="11" t="n">
        <v>46120</v>
      </c>
      <c r="X19" s="11" t="n">
        <v>46248</v>
      </c>
      <c r="Y19" s="11" t="n">
        <v>46236</v>
      </c>
      <c r="Z19" s="11" t="s">
        <v>144</v>
      </c>
      <c r="AA19" s="20"/>
    </row>
    <row r="20" customFormat="false" ht="15" hidden="false" customHeight="false" outlineLevel="0" collapsed="false">
      <c r="A20" s="8" t="s">
        <v>200</v>
      </c>
      <c r="B20" s="8" t="s">
        <v>201</v>
      </c>
      <c r="C20" s="8" t="s">
        <v>138</v>
      </c>
      <c r="D20" s="8" t="s">
        <v>202</v>
      </c>
      <c r="E20" s="8" t="s">
        <v>140</v>
      </c>
      <c r="F20" s="15" t="n">
        <v>6400000</v>
      </c>
      <c r="G20" s="15" t="n">
        <v>6200000</v>
      </c>
      <c r="H20" s="16" t="s">
        <v>141</v>
      </c>
      <c r="I20" s="8" t="s">
        <v>142</v>
      </c>
      <c r="J20" s="11" t="n">
        <v>48060</v>
      </c>
      <c r="K20" s="17" t="n">
        <v>3</v>
      </c>
      <c r="L20" s="17" t="n">
        <v>3</v>
      </c>
      <c r="M20" s="17" t="n">
        <v>0</v>
      </c>
      <c r="N20" s="18" t="n">
        <v>1.45</v>
      </c>
      <c r="O20" s="18" t="n">
        <v>1.25</v>
      </c>
      <c r="P20" s="18" t="n">
        <v>1.69</v>
      </c>
      <c r="Q20" s="18" t="n">
        <v>1.71</v>
      </c>
      <c r="R20" s="8" t="s">
        <v>143</v>
      </c>
      <c r="S20" s="16" t="s">
        <v>134</v>
      </c>
      <c r="T20" s="12" t="n">
        <v>0.75</v>
      </c>
      <c r="U20" s="12" t="n">
        <v>0.6</v>
      </c>
      <c r="V20" s="11" t="n">
        <v>46142</v>
      </c>
      <c r="W20" s="11" t="n">
        <v>46126</v>
      </c>
      <c r="X20" s="11" t="n">
        <v>46248</v>
      </c>
      <c r="Y20" s="11" t="n">
        <v>46241</v>
      </c>
      <c r="Z20" s="11" t="s">
        <v>144</v>
      </c>
      <c r="AA20" s="20"/>
    </row>
    <row r="21" customFormat="false" ht="15" hidden="false" customHeight="false" outlineLevel="0" collapsed="false">
      <c r="A21" s="8" t="s">
        <v>203</v>
      </c>
      <c r="B21" s="8" t="s">
        <v>204</v>
      </c>
      <c r="C21" s="8" t="s">
        <v>128</v>
      </c>
      <c r="D21" s="8" t="s">
        <v>205</v>
      </c>
      <c r="E21" s="8" t="s">
        <v>130</v>
      </c>
      <c r="F21" s="15" t="n">
        <v>4800000</v>
      </c>
      <c r="G21" s="15" t="n">
        <v>3600000</v>
      </c>
      <c r="H21" s="16" t="s">
        <v>131</v>
      </c>
      <c r="I21" s="8" t="s">
        <v>149</v>
      </c>
      <c r="J21" s="11" t="n">
        <v>47118</v>
      </c>
      <c r="K21" s="17" t="n">
        <v>4</v>
      </c>
      <c r="L21" s="17" t="n">
        <v>4</v>
      </c>
      <c r="M21" s="17" t="n">
        <v>0</v>
      </c>
      <c r="N21" s="18" t="n">
        <v>1.4</v>
      </c>
      <c r="O21" s="18" t="n">
        <v>1.25</v>
      </c>
      <c r="P21" s="18" t="n">
        <v>1.51</v>
      </c>
      <c r="Q21" s="18" t="n">
        <v>1.48</v>
      </c>
      <c r="R21" s="8" t="s">
        <v>164</v>
      </c>
      <c r="S21" s="16" t="s">
        <v>134</v>
      </c>
      <c r="T21" s="18" t="n">
        <v>3</v>
      </c>
      <c r="U21" s="18" t="n">
        <v>2.2</v>
      </c>
      <c r="V21" s="11" t="n">
        <v>46142</v>
      </c>
      <c r="W21" s="11" t="n">
        <v>46136</v>
      </c>
      <c r="X21" s="11" t="n">
        <v>46248</v>
      </c>
      <c r="Y21" s="11" t="n">
        <v>46246</v>
      </c>
      <c r="Z21" s="11" t="n">
        <v>46279</v>
      </c>
      <c r="AA21" s="20"/>
    </row>
    <row r="22" customFormat="false" ht="15" hidden="false" customHeight="false" outlineLevel="0" collapsed="false">
      <c r="A22" s="8" t="s">
        <v>206</v>
      </c>
      <c r="B22" s="8" t="s">
        <v>207</v>
      </c>
      <c r="C22" s="8" t="s">
        <v>138</v>
      </c>
      <c r="D22" s="8" t="s">
        <v>208</v>
      </c>
      <c r="E22" s="8" t="s">
        <v>140</v>
      </c>
      <c r="F22" s="15" t="n">
        <v>9000000</v>
      </c>
      <c r="G22" s="15" t="n">
        <v>8800000</v>
      </c>
      <c r="H22" s="16" t="s">
        <v>141</v>
      </c>
      <c r="I22" s="8" t="s">
        <v>149</v>
      </c>
      <c r="J22" s="11" t="n">
        <v>47238</v>
      </c>
      <c r="K22" s="17" t="n">
        <v>6</v>
      </c>
      <c r="L22" s="17" t="n">
        <v>5</v>
      </c>
      <c r="M22" s="17" t="n">
        <v>0</v>
      </c>
      <c r="N22" s="18" t="n">
        <v>1.25</v>
      </c>
      <c r="O22" s="18" t="n">
        <v>1.3</v>
      </c>
      <c r="P22" s="18" t="n">
        <v>1.22</v>
      </c>
      <c r="Q22" s="18" t="n">
        <v>1.31</v>
      </c>
      <c r="R22" s="8" t="s">
        <v>143</v>
      </c>
      <c r="S22" s="16" t="s">
        <v>134</v>
      </c>
      <c r="T22" s="12" t="n">
        <v>0.75</v>
      </c>
      <c r="U22" s="12" t="n">
        <v>0.7</v>
      </c>
      <c r="V22" s="11" t="n">
        <v>46142</v>
      </c>
      <c r="W22" s="11" t="n">
        <v>46138</v>
      </c>
      <c r="X22" s="11" t="n">
        <v>46248</v>
      </c>
      <c r="Y22" s="11" t="n">
        <v>46247</v>
      </c>
      <c r="Z22" s="11" t="s">
        <v>144</v>
      </c>
      <c r="AA22" s="19" t="s">
        <v>209</v>
      </c>
    </row>
    <row r="23" customFormat="false" ht="15" hidden="false" customHeight="false" outlineLevel="0" collapsed="false">
      <c r="A23" s="8" t="s">
        <v>210</v>
      </c>
      <c r="B23" s="8" t="s">
        <v>211</v>
      </c>
      <c r="C23" s="8" t="s">
        <v>128</v>
      </c>
      <c r="D23" s="8" t="s">
        <v>162</v>
      </c>
      <c r="E23" s="8" t="s">
        <v>212</v>
      </c>
      <c r="F23" s="15" t="n">
        <v>1900000</v>
      </c>
      <c r="G23" s="15" t="n">
        <v>1400000</v>
      </c>
      <c r="H23" s="16" t="s">
        <v>131</v>
      </c>
      <c r="I23" s="8" t="s">
        <v>149</v>
      </c>
      <c r="J23" s="11" t="n">
        <v>46630</v>
      </c>
      <c r="K23" s="17" t="n">
        <v>4</v>
      </c>
      <c r="L23" s="17" t="n">
        <v>4</v>
      </c>
      <c r="M23" s="17" t="n">
        <v>0</v>
      </c>
      <c r="N23" s="18" t="n">
        <v>1.5</v>
      </c>
      <c r="O23" s="18" t="n">
        <v>1.25</v>
      </c>
      <c r="P23" s="18" t="n">
        <v>1.6</v>
      </c>
      <c r="Q23" s="18" t="n">
        <v>1.62</v>
      </c>
      <c r="R23" s="8" t="s">
        <v>164</v>
      </c>
      <c r="S23" s="16" t="s">
        <v>134</v>
      </c>
      <c r="T23" s="18" t="n">
        <v>3</v>
      </c>
      <c r="U23" s="18" t="n">
        <v>1.7</v>
      </c>
      <c r="V23" s="11" t="n">
        <v>46142</v>
      </c>
      <c r="W23" s="11" t="n">
        <v>46131</v>
      </c>
      <c r="X23" s="11" t="n">
        <v>46248</v>
      </c>
      <c r="Y23" s="11" t="n">
        <v>46245</v>
      </c>
      <c r="Z23" s="11" t="n">
        <v>46285</v>
      </c>
      <c r="AA23" s="20"/>
    </row>
    <row r="24" customFormat="false" ht="15" hidden="false" customHeight="false" outlineLevel="0" collapsed="false">
      <c r="A24" s="8" t="s">
        <v>213</v>
      </c>
      <c r="B24" s="8" t="s">
        <v>214</v>
      </c>
      <c r="C24" s="8" t="s">
        <v>128</v>
      </c>
      <c r="D24" s="8" t="s">
        <v>168</v>
      </c>
      <c r="E24" s="8" t="s">
        <v>169</v>
      </c>
      <c r="F24" s="15" t="n">
        <v>3900000</v>
      </c>
      <c r="G24" s="15" t="n">
        <v>3500000</v>
      </c>
      <c r="H24" s="16" t="s">
        <v>141</v>
      </c>
      <c r="I24" s="8" t="s">
        <v>142</v>
      </c>
      <c r="J24" s="11" t="n">
        <v>47787</v>
      </c>
      <c r="K24" s="17" t="n">
        <v>4</v>
      </c>
      <c r="L24" s="17" t="n">
        <v>4</v>
      </c>
      <c r="M24" s="17" t="n">
        <v>0</v>
      </c>
      <c r="N24" s="18" t="n">
        <v>1.3</v>
      </c>
      <c r="O24" s="18" t="n">
        <v>1.25</v>
      </c>
      <c r="P24" s="18" t="n">
        <v>1.42</v>
      </c>
      <c r="Q24" s="18" t="n">
        <v>1.4</v>
      </c>
      <c r="R24" s="8" t="s">
        <v>133</v>
      </c>
      <c r="S24" s="16" t="s">
        <v>134</v>
      </c>
      <c r="T24" s="18" t="n">
        <v>3.5</v>
      </c>
      <c r="U24" s="18" t="n">
        <v>2.6</v>
      </c>
      <c r="V24" s="11" t="n">
        <v>46142</v>
      </c>
      <c r="W24" s="11" t="n">
        <v>46135</v>
      </c>
      <c r="X24" s="11" t="n">
        <v>46248</v>
      </c>
      <c r="Y24" s="11" t="n">
        <v>46244</v>
      </c>
      <c r="Z24" s="11" t="s">
        <v>144</v>
      </c>
      <c r="AA24" s="20"/>
    </row>
    <row r="25" customFormat="false" ht="15" hidden="false" customHeight="false" outlineLevel="0" collapsed="false">
      <c r="A25" s="8" t="s">
        <v>215</v>
      </c>
      <c r="B25" s="8" t="s">
        <v>216</v>
      </c>
      <c r="C25" s="8" t="s">
        <v>128</v>
      </c>
      <c r="D25" s="8" t="s">
        <v>217</v>
      </c>
      <c r="E25" s="8" t="s">
        <v>130</v>
      </c>
      <c r="F25" s="15" t="n">
        <v>2200000</v>
      </c>
      <c r="G25" s="15" t="n">
        <v>2050000</v>
      </c>
      <c r="H25" s="16" t="s">
        <v>131</v>
      </c>
      <c r="I25" s="8" t="s">
        <v>149</v>
      </c>
      <c r="J25" s="11" t="n">
        <v>46934</v>
      </c>
      <c r="K25" s="17" t="n">
        <v>6</v>
      </c>
      <c r="L25" s="17" t="n">
        <v>8</v>
      </c>
      <c r="M25" s="17" t="n">
        <v>32</v>
      </c>
      <c r="N25" s="18" t="n">
        <v>0.92</v>
      </c>
      <c r="O25" s="18" t="n">
        <v>1.2</v>
      </c>
      <c r="P25" s="18" t="n">
        <v>1.04</v>
      </c>
      <c r="Q25" s="18" t="n">
        <v>0.94</v>
      </c>
      <c r="R25" s="8" t="s">
        <v>192</v>
      </c>
      <c r="S25" s="16" t="s">
        <v>158</v>
      </c>
      <c r="T25" s="15" t="n">
        <v>150000</v>
      </c>
      <c r="U25" s="15" t="n">
        <v>60000</v>
      </c>
      <c r="V25" s="11" t="n">
        <v>46142</v>
      </c>
      <c r="W25" s="11" t="n">
        <v>46183</v>
      </c>
      <c r="X25" s="11" t="n">
        <v>46248</v>
      </c>
      <c r="Y25" s="11" t="n">
        <v>46267</v>
      </c>
      <c r="Z25" s="11" t="n">
        <v>46223</v>
      </c>
      <c r="AA25" s="19" t="s">
        <v>218</v>
      </c>
    </row>
    <row r="26" customFormat="false" ht="15" hidden="false" customHeight="false" outlineLevel="0" collapsed="false">
      <c r="A26" s="8" t="s">
        <v>219</v>
      </c>
      <c r="B26" s="8" t="s">
        <v>220</v>
      </c>
      <c r="C26" s="8" t="s">
        <v>128</v>
      </c>
      <c r="D26" s="8" t="s">
        <v>148</v>
      </c>
      <c r="E26" s="8" t="s">
        <v>173</v>
      </c>
      <c r="F26" s="15" t="n">
        <v>2600000</v>
      </c>
      <c r="G26" s="15" t="n">
        <v>2300000</v>
      </c>
      <c r="H26" s="16" t="s">
        <v>141</v>
      </c>
      <c r="I26" s="8" t="s">
        <v>142</v>
      </c>
      <c r="J26" s="11" t="n">
        <v>47573</v>
      </c>
      <c r="K26" s="17" t="n">
        <v>3</v>
      </c>
      <c r="L26" s="17" t="n">
        <v>3</v>
      </c>
      <c r="M26" s="17" t="n">
        <v>0</v>
      </c>
      <c r="N26" s="18" t="n">
        <v>1.4</v>
      </c>
      <c r="O26" s="18" t="n">
        <v>1.25</v>
      </c>
      <c r="P26" s="18" t="n">
        <v>1.85</v>
      </c>
      <c r="Q26" s="18" t="n">
        <v>1.88</v>
      </c>
      <c r="R26" s="8" t="s">
        <v>133</v>
      </c>
      <c r="S26" s="16" t="s">
        <v>134</v>
      </c>
      <c r="T26" s="18" t="n">
        <v>3</v>
      </c>
      <c r="U26" s="18" t="n">
        <v>1.9</v>
      </c>
      <c r="V26" s="11" t="n">
        <v>46142</v>
      </c>
      <c r="W26" s="11" t="n">
        <v>46123</v>
      </c>
      <c r="X26" s="11" t="n">
        <v>46248</v>
      </c>
      <c r="Y26" s="11" t="n">
        <v>46240</v>
      </c>
      <c r="Z26" s="11" t="s">
        <v>144</v>
      </c>
      <c r="AA26" s="20"/>
    </row>
    <row r="27" customFormat="false" ht="15" hidden="false" customHeight="false" outlineLevel="0" collapsed="false">
      <c r="A27" s="8" t="s">
        <v>221</v>
      </c>
      <c r="B27" s="8" t="s">
        <v>222</v>
      </c>
      <c r="C27" s="8" t="s">
        <v>138</v>
      </c>
      <c r="D27" s="8" t="s">
        <v>139</v>
      </c>
      <c r="E27" s="8" t="s">
        <v>140</v>
      </c>
      <c r="F27" s="15" t="n">
        <v>5200000</v>
      </c>
      <c r="G27" s="15" t="n">
        <v>5000000</v>
      </c>
      <c r="H27" s="16" t="s">
        <v>141</v>
      </c>
      <c r="I27" s="8" t="s">
        <v>142</v>
      </c>
      <c r="J27" s="11" t="n">
        <v>48182</v>
      </c>
      <c r="K27" s="17" t="n">
        <v>3</v>
      </c>
      <c r="L27" s="17" t="n">
        <v>3</v>
      </c>
      <c r="M27" s="17" t="n">
        <v>0</v>
      </c>
      <c r="N27" s="18" t="n">
        <v>1.5</v>
      </c>
      <c r="O27" s="18" t="n">
        <v>1.25</v>
      </c>
      <c r="P27" s="18" t="n">
        <v>1.56</v>
      </c>
      <c r="Q27" s="18" t="n">
        <v>1.58</v>
      </c>
      <c r="R27" s="8" t="s">
        <v>143</v>
      </c>
      <c r="S27" s="16" t="s">
        <v>134</v>
      </c>
      <c r="T27" s="12" t="n">
        <v>0.75</v>
      </c>
      <c r="U27" s="12" t="n">
        <v>0.58</v>
      </c>
      <c r="V27" s="11" t="n">
        <v>46142</v>
      </c>
      <c r="W27" s="11" t="n">
        <v>46129</v>
      </c>
      <c r="X27" s="11" t="n">
        <v>46248</v>
      </c>
      <c r="Y27" s="11" t="n">
        <v>46237</v>
      </c>
      <c r="Z27" s="11" t="s">
        <v>144</v>
      </c>
      <c r="AA27" s="20"/>
    </row>
    <row r="28" customFormat="false" ht="15" hidden="false" customHeight="false" outlineLevel="0" collapsed="false">
      <c r="A28" s="8" t="s">
        <v>223</v>
      </c>
      <c r="B28" s="8" t="s">
        <v>224</v>
      </c>
      <c r="C28" s="8" t="s">
        <v>128</v>
      </c>
      <c r="D28" s="8" t="s">
        <v>129</v>
      </c>
      <c r="E28" s="8" t="s">
        <v>130</v>
      </c>
      <c r="F28" s="15" t="n">
        <v>3400000</v>
      </c>
      <c r="G28" s="15" t="n">
        <v>2900000</v>
      </c>
      <c r="H28" s="16" t="s">
        <v>131</v>
      </c>
      <c r="I28" s="8" t="s">
        <v>149</v>
      </c>
      <c r="J28" s="11" t="n">
        <v>46996</v>
      </c>
      <c r="K28" s="17" t="n">
        <v>4</v>
      </c>
      <c r="L28" s="17" t="n">
        <v>4</v>
      </c>
      <c r="M28" s="17" t="n">
        <v>0</v>
      </c>
      <c r="N28" s="18" t="n">
        <v>1.35</v>
      </c>
      <c r="O28" s="18" t="n">
        <v>1.25</v>
      </c>
      <c r="P28" s="18" t="n">
        <v>1.72</v>
      </c>
      <c r="Q28" s="18" t="n">
        <v>1.39</v>
      </c>
      <c r="R28" s="8" t="s">
        <v>133</v>
      </c>
      <c r="S28" s="16" t="s">
        <v>134</v>
      </c>
      <c r="T28" s="18" t="n">
        <v>3</v>
      </c>
      <c r="U28" s="18" t="n">
        <v>2.4</v>
      </c>
      <c r="V28" s="11" t="n">
        <v>46142</v>
      </c>
      <c r="W28" s="11" t="n">
        <v>46141</v>
      </c>
      <c r="X28" s="11" t="n">
        <v>46248</v>
      </c>
      <c r="Y28" s="11" t="n">
        <v>46246</v>
      </c>
      <c r="Z28" s="11" t="n">
        <v>46283</v>
      </c>
      <c r="AA28" s="19" t="s">
        <v>225</v>
      </c>
    </row>
    <row r="30" customFormat="false" ht="15" hidden="false" customHeight="false" outlineLevel="0" collapsed="false">
      <c r="A30" s="6" t="s">
        <v>226</v>
      </c>
      <c r="F30" s="22" t="n">
        <f aca="false">SUM(F5:F28)</f>
        <v>125440000</v>
      </c>
      <c r="G30" s="22" t="n">
        <f aca="false">SUM(G5:G28)</f>
        <v>113940000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M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5" min="3" style="0" width="10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7"/>
    <col collapsed="false" customWidth="true" hidden="false" outlineLevel="0" max="10" min="9" style="0" width="12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0" t="s">
        <v>227</v>
      </c>
    </row>
    <row r="2" customFormat="false" ht="15" hidden="false" customHeight="false" outlineLevel="0" collapsed="false">
      <c r="A2" s="3" t="s">
        <v>228</v>
      </c>
    </row>
    <row r="4" customFormat="false" ht="30" hidden="false" customHeight="true" outlineLevel="0" collapsed="false">
      <c r="A4" s="5" t="s">
        <v>99</v>
      </c>
      <c r="B4" s="5" t="s">
        <v>100</v>
      </c>
      <c r="C4" s="5" t="s">
        <v>229</v>
      </c>
      <c r="D4" s="5" t="s">
        <v>230</v>
      </c>
      <c r="E4" s="5" t="s">
        <v>231</v>
      </c>
      <c r="F4" s="5" t="s">
        <v>232</v>
      </c>
      <c r="G4" s="5" t="s">
        <v>116</v>
      </c>
      <c r="H4" s="5" t="s">
        <v>117</v>
      </c>
      <c r="I4" s="5" t="s">
        <v>233</v>
      </c>
      <c r="J4" s="5" t="s">
        <v>234</v>
      </c>
      <c r="K4" s="5" t="s">
        <v>235</v>
      </c>
      <c r="L4" s="5" t="s">
        <v>236</v>
      </c>
      <c r="M4" s="5" t="s">
        <v>237</v>
      </c>
    </row>
    <row r="5" customFormat="false" ht="15" hidden="false" customHeight="false" outlineLevel="0" collapsed="false">
      <c r="A5" s="9" t="str">
        <f aca="false">Loan_Register!A5</f>
        <v>PL-1001</v>
      </c>
      <c r="B5" s="9" t="str">
        <f aca="false">Loan_Register!B5</f>
        <v>Brazos Bend Fabrication, LLC</v>
      </c>
      <c r="C5" s="23" t="n">
        <f aca="false">Loan_Register!O5</f>
        <v>1.25</v>
      </c>
      <c r="D5" s="23" t="n">
        <f aca="false">Loan_Register!Q5</f>
        <v>2.15</v>
      </c>
      <c r="E5" s="24" t="n">
        <f aca="false">(D5-C5)/C5</f>
        <v>0.72</v>
      </c>
      <c r="F5" s="25" t="str">
        <f aca="false">IF(E5&lt;0,"Breach",IF(E5&lt;Settings!$B$6,"Near Breach","Pass"))</f>
        <v>Pass</v>
      </c>
      <c r="G5" s="9" t="str">
        <f aca="false">Loan_Register!R5</f>
        <v>Funded Debt / EBITDA</v>
      </c>
      <c r="H5" s="25" t="str">
        <f aca="false">Loan_Register!S5</f>
        <v>Max</v>
      </c>
      <c r="I5" s="23" t="n">
        <f aca="false">Loan_Register!T5</f>
        <v>3</v>
      </c>
      <c r="J5" s="23" t="n">
        <f aca="false">Loan_Register!U5</f>
        <v>1.14</v>
      </c>
      <c r="K5" s="24" t="n">
        <f aca="false">IF(H5="Max",(I5-J5)/I5,(J5-I5)/I5)</f>
        <v>0.62</v>
      </c>
      <c r="L5" s="25" t="str">
        <f aca="false">IF(K5&lt;0,"Breach",IF(K5&lt;Settings!$B$6,"Near Breach","Pass"))</f>
        <v>Pass</v>
      </c>
      <c r="M5" s="26" t="str">
        <f aca="false">IF(OR(F5="Breach",L5="Breach"),"Breach",IF(OR(F5="Near Breach",L5="Near Breach"),"Near Breach","Pass"))</f>
        <v>Pass</v>
      </c>
    </row>
    <row r="6" customFormat="false" ht="15" hidden="false" customHeight="false" outlineLevel="0" collapsed="false">
      <c r="A6" s="9" t="str">
        <f aca="false">Loan_Register!A6</f>
        <v>PL-1002</v>
      </c>
      <c r="B6" s="9" t="str">
        <f aca="false">Loan_Register!B6</f>
        <v>Gulfway Cold Storage Partners, LP</v>
      </c>
      <c r="C6" s="23" t="n">
        <f aca="false">Loan_Register!O6</f>
        <v>1.3</v>
      </c>
      <c r="D6" s="23" t="n">
        <f aca="false">Loan_Register!Q6</f>
        <v>1.62</v>
      </c>
      <c r="E6" s="24" t="n">
        <f aca="false">(D6-C6)/C6</f>
        <v>0.246153846153846</v>
      </c>
      <c r="F6" s="25" t="str">
        <f aca="false">IF(E6&lt;0,"Breach",IF(E6&lt;Settings!$B$6,"Near Breach","Pass"))</f>
        <v>Pass</v>
      </c>
      <c r="G6" s="9" t="str">
        <f aca="false">Loan_Register!R6</f>
        <v>Loan to Value</v>
      </c>
      <c r="H6" s="25" t="str">
        <f aca="false">Loan_Register!S6</f>
        <v>Max</v>
      </c>
      <c r="I6" s="27" t="n">
        <f aca="false">Loan_Register!T6</f>
        <v>0.75</v>
      </c>
      <c r="J6" s="27" t="n">
        <f aca="false">Loan_Register!U6</f>
        <v>0.66</v>
      </c>
      <c r="K6" s="24" t="n">
        <f aca="false">IF(H6="Max",(I6-J6)/I6,(J6-I6)/I6)</f>
        <v>0.12</v>
      </c>
      <c r="L6" s="25" t="str">
        <f aca="false">IF(K6&lt;0,"Breach",IF(K6&lt;Settings!$B$6,"Near Breach","Pass"))</f>
        <v>Pass</v>
      </c>
      <c r="M6" s="26" t="str">
        <f aca="false">IF(OR(F6="Breach",L6="Breach"),"Breach",IF(OR(F6="Near Breach",L6="Near Breach"),"Near Breach","Pass"))</f>
        <v>Pass</v>
      </c>
    </row>
    <row r="7" customFormat="false" ht="15" hidden="false" customHeight="false" outlineLevel="0" collapsed="false">
      <c r="A7" s="9" t="str">
        <f aca="false">Loan_Register!A7</f>
        <v>PL-1003</v>
      </c>
      <c r="B7" s="9" t="str">
        <f aca="false">Loan_Register!B7</f>
        <v>Bayou City Pediatric Associates, PA</v>
      </c>
      <c r="C7" s="23" t="n">
        <f aca="false">Loan_Register!O7</f>
        <v>1.5</v>
      </c>
      <c r="D7" s="23" t="n">
        <f aca="false">Loan_Register!Q7</f>
        <v>1.85</v>
      </c>
      <c r="E7" s="24" t="n">
        <f aca="false">(D7-C7)/C7</f>
        <v>0.233333333333333</v>
      </c>
      <c r="F7" s="25" t="str">
        <f aca="false">IF(E7&lt;0,"Breach",IF(E7&lt;Settings!$B$6,"Near Breach","Pass"))</f>
        <v>Pass</v>
      </c>
      <c r="G7" s="9" t="str">
        <f aca="false">Loan_Register!R7</f>
        <v>Funded Debt / EBITDA</v>
      </c>
      <c r="H7" s="25" t="str">
        <f aca="false">Loan_Register!S7</f>
        <v>Max</v>
      </c>
      <c r="I7" s="23" t="n">
        <f aca="false">Loan_Register!T7</f>
        <v>3</v>
      </c>
      <c r="J7" s="23" t="n">
        <f aca="false">Loan_Register!U7</f>
        <v>2.1</v>
      </c>
      <c r="K7" s="24" t="n">
        <f aca="false">IF(H7="Max",(I7-J7)/I7,(J7-I7)/I7)</f>
        <v>0.3</v>
      </c>
      <c r="L7" s="25" t="str">
        <f aca="false">IF(K7&lt;0,"Breach",IF(K7&lt;Settings!$B$6,"Near Breach","Pass"))</f>
        <v>Pass</v>
      </c>
      <c r="M7" s="26" t="str">
        <f aca="false">IF(OR(F7="Breach",L7="Breach"),"Breach",IF(OR(F7="Near Breach",L7="Near Breach"),"Near Breach","Pass"))</f>
        <v>Pass</v>
      </c>
    </row>
    <row r="8" customFormat="false" ht="15" hidden="false" customHeight="false" outlineLevel="0" collapsed="false">
      <c r="A8" s="9" t="str">
        <f aca="false">Loan_Register!A8</f>
        <v>PL-1004</v>
      </c>
      <c r="B8" s="9" t="str">
        <f aca="false">Loan_Register!B8</f>
        <v>Cypress Ridge Apartments, LP</v>
      </c>
      <c r="C8" s="23" t="n">
        <f aca="false">Loan_Register!O8</f>
        <v>1.2</v>
      </c>
      <c r="D8" s="23" t="n">
        <f aca="false">Loan_Register!Q8</f>
        <v>1.21</v>
      </c>
      <c r="E8" s="24" t="n">
        <f aca="false">(D8-C8)/C8</f>
        <v>0.00833333333333334</v>
      </c>
      <c r="F8" s="25" t="str">
        <f aca="false">IF(E8&lt;0,"Breach",IF(E8&lt;Settings!$B$6,"Near Breach","Pass"))</f>
        <v>Near Breach</v>
      </c>
      <c r="G8" s="9" t="str">
        <f aca="false">Loan_Register!R8</f>
        <v>Loan to Value</v>
      </c>
      <c r="H8" s="25" t="str">
        <f aca="false">Loan_Register!S8</f>
        <v>Max</v>
      </c>
      <c r="I8" s="27" t="n">
        <f aca="false">Loan_Register!T8</f>
        <v>0.75</v>
      </c>
      <c r="J8" s="27" t="n">
        <f aca="false">Loan_Register!U8</f>
        <v>0.72</v>
      </c>
      <c r="K8" s="24" t="n">
        <f aca="false">IF(H8="Max",(I8-J8)/I8,(J8-I8)/I8)</f>
        <v>0.04</v>
      </c>
      <c r="L8" s="25" t="str">
        <f aca="false">IF(K8&lt;0,"Breach",IF(K8&lt;Settings!$B$6,"Near Breach","Pass"))</f>
        <v>Near Breach</v>
      </c>
      <c r="M8" s="26" t="str">
        <f aca="false">IF(OR(F8="Breach",L8="Breach"),"Breach",IF(OR(F8="Near Breach",L8="Near Breach"),"Near Breach","Pass"))</f>
        <v>Near Breach</v>
      </c>
    </row>
    <row r="9" customFormat="false" ht="15" hidden="false" customHeight="false" outlineLevel="0" collapsed="false">
      <c r="A9" s="9" t="str">
        <f aca="false">Loan_Register!A9</f>
        <v>PL-1005</v>
      </c>
      <c r="B9" s="9" t="str">
        <f aca="false">Loan_Register!B9</f>
        <v>Lone Oak Hospitality, Inc.</v>
      </c>
      <c r="C9" s="23" t="n">
        <f aca="false">Loan_Register!O9</f>
        <v>1.25</v>
      </c>
      <c r="D9" s="23" t="n">
        <f aca="false">Loan_Register!Q9</f>
        <v>1.08</v>
      </c>
      <c r="E9" s="24" t="n">
        <f aca="false">(D9-C9)/C9</f>
        <v>-0.136</v>
      </c>
      <c r="F9" s="25" t="str">
        <f aca="false">IF(E9&lt;0,"Breach",IF(E9&lt;Settings!$B$6,"Near Breach","Pass"))</f>
        <v>Breach</v>
      </c>
      <c r="G9" s="9" t="str">
        <f aca="false">Loan_Register!R9</f>
        <v>Guarantor Liquidity</v>
      </c>
      <c r="H9" s="25" t="str">
        <f aca="false">Loan_Register!S9</f>
        <v>Min</v>
      </c>
      <c r="I9" s="28" t="n">
        <f aca="false">Loan_Register!T9</f>
        <v>500000</v>
      </c>
      <c r="J9" s="28" t="n">
        <f aca="false">Loan_Register!U9</f>
        <v>610000</v>
      </c>
      <c r="K9" s="24" t="n">
        <f aca="false">IF(H9="Max",(I9-J9)/I9,(J9-I9)/I9)</f>
        <v>0.22</v>
      </c>
      <c r="L9" s="25" t="str">
        <f aca="false">IF(K9&lt;0,"Breach",IF(K9&lt;Settings!$B$6,"Near Breach","Pass"))</f>
        <v>Pass</v>
      </c>
      <c r="M9" s="26" t="str">
        <f aca="false">IF(OR(F9="Breach",L9="Breach"),"Breach",IF(OR(F9="Near Breach",L9="Near Breach"),"Near Breach","Pass"))</f>
        <v>Breach</v>
      </c>
    </row>
    <row r="10" customFormat="false" ht="15" hidden="false" customHeight="false" outlineLevel="0" collapsed="false">
      <c r="A10" s="9" t="str">
        <f aca="false">Loan_Register!A10</f>
        <v>PL-1006</v>
      </c>
      <c r="B10" s="9" t="str">
        <f aca="false">Loan_Register!B10</f>
        <v>Copperline Electrical Contractors, Inc.</v>
      </c>
      <c r="C10" s="23" t="n">
        <f aca="false">Loan_Register!O10</f>
        <v>1.25</v>
      </c>
      <c r="D10" s="23" t="n">
        <f aca="false">Loan_Register!Q10</f>
        <v>1.44</v>
      </c>
      <c r="E10" s="24" t="n">
        <f aca="false">(D10-C10)/C10</f>
        <v>0.152</v>
      </c>
      <c r="F10" s="25" t="str">
        <f aca="false">IF(E10&lt;0,"Breach",IF(E10&lt;Settings!$B$6,"Near Breach","Pass"))</f>
        <v>Pass</v>
      </c>
      <c r="G10" s="9" t="str">
        <f aca="false">Loan_Register!R10</f>
        <v>Debt / Worth</v>
      </c>
      <c r="H10" s="25" t="str">
        <f aca="false">Loan_Register!S10</f>
        <v>Max</v>
      </c>
      <c r="I10" s="23" t="n">
        <f aca="false">Loan_Register!T10</f>
        <v>3</v>
      </c>
      <c r="J10" s="23" t="n">
        <f aca="false">Loan_Register!U10</f>
        <v>2.6</v>
      </c>
      <c r="K10" s="24" t="n">
        <f aca="false">IF(H10="Max",(I10-J10)/I10,(J10-I10)/I10)</f>
        <v>0.133333333333333</v>
      </c>
      <c r="L10" s="25" t="str">
        <f aca="false">IF(K10&lt;0,"Breach",IF(K10&lt;Settings!$B$6,"Near Breach","Pass"))</f>
        <v>Pass</v>
      </c>
      <c r="M10" s="26" t="str">
        <f aca="false">IF(OR(F10="Breach",L10="Breach"),"Breach",IF(OR(F10="Near Breach",L10="Near Breach"),"Near Breach","Pass"))</f>
        <v>Pass</v>
      </c>
    </row>
    <row r="11" customFormat="false" ht="15" hidden="false" customHeight="false" outlineLevel="0" collapsed="false">
      <c r="A11" s="9" t="str">
        <f aca="false">Loan_Register!A11</f>
        <v>PL-1007</v>
      </c>
      <c r="B11" s="9" t="str">
        <f aca="false">Loan_Register!B11</f>
        <v>Harbor Point Logistics, LLC</v>
      </c>
      <c r="C11" s="23" t="n">
        <f aca="false">Loan_Register!O11</f>
        <v>1.2</v>
      </c>
      <c r="D11" s="23" t="n">
        <f aca="false">Loan_Register!Q11</f>
        <v>1.18</v>
      </c>
      <c r="E11" s="24" t="n">
        <f aca="false">(D11-C11)/C11</f>
        <v>-0.0166666666666667</v>
      </c>
      <c r="F11" s="25" t="str">
        <f aca="false">IF(E11&lt;0,"Breach",IF(E11&lt;Settings!$B$6,"Near Breach","Pass"))</f>
        <v>Breach</v>
      </c>
      <c r="G11" s="9" t="str">
        <f aca="false">Loan_Register!R11</f>
        <v>Funded Debt / EBITDA</v>
      </c>
      <c r="H11" s="25" t="str">
        <f aca="false">Loan_Register!S11</f>
        <v>Max</v>
      </c>
      <c r="I11" s="23" t="n">
        <f aca="false">Loan_Register!T11</f>
        <v>3.5</v>
      </c>
      <c r="J11" s="23" t="n">
        <f aca="false">Loan_Register!U11</f>
        <v>3.3</v>
      </c>
      <c r="K11" s="24" t="n">
        <f aca="false">IF(H11="Max",(I11-J11)/I11,(J11-I11)/I11)</f>
        <v>0.0571428571428572</v>
      </c>
      <c r="L11" s="25" t="str">
        <f aca="false">IF(K11&lt;0,"Breach",IF(K11&lt;Settings!$B$6,"Near Breach","Pass"))</f>
        <v>Near Breach</v>
      </c>
      <c r="M11" s="26" t="str">
        <f aca="false">IF(OR(F11="Breach",L11="Breach"),"Breach",IF(OR(F11="Near Breach",L11="Near Breach"),"Near Breach","Pass"))</f>
        <v>Breach</v>
      </c>
    </row>
    <row r="12" customFormat="false" ht="15" hidden="false" customHeight="false" outlineLevel="0" collapsed="false">
      <c r="A12" s="9" t="str">
        <f aca="false">Loan_Register!A12</f>
        <v>PL-1008</v>
      </c>
      <c r="B12" s="9" t="str">
        <f aca="false">Loan_Register!B12</f>
        <v>Summit Pediatric Dental, PLLC</v>
      </c>
      <c r="C12" s="23" t="n">
        <f aca="false">Loan_Register!O12</f>
        <v>1.25</v>
      </c>
      <c r="D12" s="23" t="n">
        <f aca="false">Loan_Register!Q12</f>
        <v>2.4</v>
      </c>
      <c r="E12" s="24" t="n">
        <f aca="false">(D12-C12)/C12</f>
        <v>0.92</v>
      </c>
      <c r="F12" s="25" t="str">
        <f aca="false">IF(E12&lt;0,"Breach",IF(E12&lt;Settings!$B$6,"Near Breach","Pass"))</f>
        <v>Pass</v>
      </c>
      <c r="G12" s="9" t="str">
        <f aca="false">Loan_Register!R12</f>
        <v>Funded Debt / EBITDA</v>
      </c>
      <c r="H12" s="25" t="str">
        <f aca="false">Loan_Register!S12</f>
        <v>Max</v>
      </c>
      <c r="I12" s="23" t="n">
        <f aca="false">Loan_Register!T12</f>
        <v>3</v>
      </c>
      <c r="J12" s="23" t="n">
        <f aca="false">Loan_Register!U12</f>
        <v>1.3</v>
      </c>
      <c r="K12" s="24" t="n">
        <f aca="false">IF(H12="Max",(I12-J12)/I12,(J12-I12)/I12)</f>
        <v>0.566666666666667</v>
      </c>
      <c r="L12" s="25" t="str">
        <f aca="false">IF(K12&lt;0,"Breach",IF(K12&lt;Settings!$B$6,"Near Breach","Pass"))</f>
        <v>Pass</v>
      </c>
      <c r="M12" s="26" t="str">
        <f aca="false">IF(OR(F12="Breach",L12="Breach"),"Breach",IF(OR(F12="Near Breach",L12="Near Breach"),"Near Breach","Pass"))</f>
        <v>Pass</v>
      </c>
    </row>
    <row r="13" customFormat="false" ht="15" hidden="false" customHeight="false" outlineLevel="0" collapsed="false">
      <c r="A13" s="9" t="str">
        <f aca="false">Loan_Register!A13</f>
        <v>PL-1009</v>
      </c>
      <c r="B13" s="9" t="str">
        <f aca="false">Loan_Register!B13</f>
        <v>Westchase Office Plaza, LLC</v>
      </c>
      <c r="C13" s="23" t="n">
        <f aca="false">Loan_Register!O13</f>
        <v>1.25</v>
      </c>
      <c r="D13" s="23" t="n">
        <f aca="false">Loan_Register!Q13</f>
        <v>1.12</v>
      </c>
      <c r="E13" s="24" t="n">
        <f aca="false">(D13-C13)/C13</f>
        <v>-0.104</v>
      </c>
      <c r="F13" s="25" t="str">
        <f aca="false">IF(E13&lt;0,"Breach",IF(E13&lt;Settings!$B$6,"Near Breach","Pass"))</f>
        <v>Breach</v>
      </c>
      <c r="G13" s="9" t="str">
        <f aca="false">Loan_Register!R13</f>
        <v>Loan to Value</v>
      </c>
      <c r="H13" s="25" t="str">
        <f aca="false">Loan_Register!S13</f>
        <v>Max</v>
      </c>
      <c r="I13" s="27" t="n">
        <f aca="false">Loan_Register!T13</f>
        <v>0.75</v>
      </c>
      <c r="J13" s="27" t="n">
        <f aca="false">Loan_Register!U13</f>
        <v>0.79</v>
      </c>
      <c r="K13" s="24" t="n">
        <f aca="false">IF(H13="Max",(I13-J13)/I13,(J13-I13)/I13)</f>
        <v>-0.0533333333333334</v>
      </c>
      <c r="L13" s="25" t="str">
        <f aca="false">IF(K13&lt;0,"Breach",IF(K13&lt;Settings!$B$6,"Near Breach","Pass"))</f>
        <v>Breach</v>
      </c>
      <c r="M13" s="26" t="str">
        <f aca="false">IF(OR(F13="Breach",L13="Breach"),"Breach",IF(OR(F13="Near Breach",L13="Near Breach"),"Near Breach","Pass"))</f>
        <v>Breach</v>
      </c>
    </row>
    <row r="14" customFormat="false" ht="15" hidden="false" customHeight="false" outlineLevel="0" collapsed="false">
      <c r="A14" s="9" t="str">
        <f aca="false">Loan_Register!A14</f>
        <v>PL-1010</v>
      </c>
      <c r="B14" s="9" t="str">
        <f aca="false">Loan_Register!B14</f>
        <v>Prairie Seed &amp; Supply Co.</v>
      </c>
      <c r="C14" s="23" t="n">
        <f aca="false">Loan_Register!O14</f>
        <v>1.25</v>
      </c>
      <c r="D14" s="23" t="n">
        <f aca="false">Loan_Register!Q14</f>
        <v>1.52</v>
      </c>
      <c r="E14" s="24" t="n">
        <f aca="false">(D14-C14)/C14</f>
        <v>0.216</v>
      </c>
      <c r="F14" s="25" t="str">
        <f aca="false">IF(E14&lt;0,"Breach",IF(E14&lt;Settings!$B$6,"Near Breach","Pass"))</f>
        <v>Pass</v>
      </c>
      <c r="G14" s="9" t="str">
        <f aca="false">Loan_Register!R14</f>
        <v>Debt / Worth</v>
      </c>
      <c r="H14" s="25" t="str">
        <f aca="false">Loan_Register!S14</f>
        <v>Max</v>
      </c>
      <c r="I14" s="23" t="n">
        <f aca="false">Loan_Register!T14</f>
        <v>2.5</v>
      </c>
      <c r="J14" s="23" t="n">
        <f aca="false">Loan_Register!U14</f>
        <v>1.8</v>
      </c>
      <c r="K14" s="24" t="n">
        <f aca="false">IF(H14="Max",(I14-J14)/I14,(J14-I14)/I14)</f>
        <v>0.28</v>
      </c>
      <c r="L14" s="25" t="str">
        <f aca="false">IF(K14&lt;0,"Breach",IF(K14&lt;Settings!$B$6,"Near Breach","Pass"))</f>
        <v>Pass</v>
      </c>
      <c r="M14" s="26" t="str">
        <f aca="false">IF(OR(F14="Breach",L14="Breach"),"Breach",IF(OR(F14="Near Breach",L14="Near Breach"),"Near Breach","Pass"))</f>
        <v>Pass</v>
      </c>
    </row>
    <row r="15" customFormat="false" ht="15" hidden="false" customHeight="false" outlineLevel="0" collapsed="false">
      <c r="A15" s="9" t="str">
        <f aca="false">Loan_Register!A15</f>
        <v>PL-1011</v>
      </c>
      <c r="B15" s="9" t="str">
        <f aca="false">Loan_Register!B15</f>
        <v>Katy Retail Commons, LLC</v>
      </c>
      <c r="C15" s="23" t="n">
        <f aca="false">Loan_Register!O15</f>
        <v>1.25</v>
      </c>
      <c r="D15" s="23" t="n">
        <f aca="false">Loan_Register!Q15</f>
        <v>1.55</v>
      </c>
      <c r="E15" s="24" t="n">
        <f aca="false">(D15-C15)/C15</f>
        <v>0.24</v>
      </c>
      <c r="F15" s="25" t="str">
        <f aca="false">IF(E15&lt;0,"Breach",IF(E15&lt;Settings!$B$6,"Near Breach","Pass"))</f>
        <v>Pass</v>
      </c>
      <c r="G15" s="9" t="str">
        <f aca="false">Loan_Register!R15</f>
        <v>Loan to Value</v>
      </c>
      <c r="H15" s="25" t="str">
        <f aca="false">Loan_Register!S15</f>
        <v>Max</v>
      </c>
      <c r="I15" s="27" t="n">
        <f aca="false">Loan_Register!T15</f>
        <v>0.75</v>
      </c>
      <c r="J15" s="27" t="n">
        <f aca="false">Loan_Register!U15</f>
        <v>0.62</v>
      </c>
      <c r="K15" s="24" t="n">
        <f aca="false">IF(H15="Max",(I15-J15)/I15,(J15-I15)/I15)</f>
        <v>0.173333333333333</v>
      </c>
      <c r="L15" s="25" t="str">
        <f aca="false">IF(K15&lt;0,"Breach",IF(K15&lt;Settings!$B$6,"Near Breach","Pass"))</f>
        <v>Pass</v>
      </c>
      <c r="M15" s="26" t="str">
        <f aca="false">IF(OR(F15="Breach",L15="Breach"),"Breach",IF(OR(F15="Near Breach",L15="Near Breach"),"Near Breach","Pass"))</f>
        <v>Pass</v>
      </c>
    </row>
    <row r="16" customFormat="false" ht="15" hidden="false" customHeight="false" outlineLevel="0" collapsed="false">
      <c r="A16" s="9" t="str">
        <f aca="false">Loan_Register!A16</f>
        <v>PL-1012</v>
      </c>
      <c r="B16" s="9" t="str">
        <f aca="false">Loan_Register!B16</f>
        <v>Trinity Machine Works, Inc.</v>
      </c>
      <c r="C16" s="23" t="n">
        <f aca="false">Loan_Register!O16</f>
        <v>1.25</v>
      </c>
      <c r="D16" s="23" t="n">
        <f aca="false">Loan_Register!Q16</f>
        <v>1.95</v>
      </c>
      <c r="E16" s="24" t="n">
        <f aca="false">(D16-C16)/C16</f>
        <v>0.56</v>
      </c>
      <c r="F16" s="25" t="str">
        <f aca="false">IF(E16&lt;0,"Breach",IF(E16&lt;Settings!$B$6,"Near Breach","Pass"))</f>
        <v>Pass</v>
      </c>
      <c r="G16" s="9" t="str">
        <f aca="false">Loan_Register!R16</f>
        <v>Funded Debt / EBITDA</v>
      </c>
      <c r="H16" s="25" t="str">
        <f aca="false">Loan_Register!S16</f>
        <v>Max</v>
      </c>
      <c r="I16" s="23" t="n">
        <f aca="false">Loan_Register!T16</f>
        <v>3</v>
      </c>
      <c r="J16" s="23" t="n">
        <f aca="false">Loan_Register!U16</f>
        <v>1.6</v>
      </c>
      <c r="K16" s="24" t="n">
        <f aca="false">IF(H16="Max",(I16-J16)/I16,(J16-I16)/I16)</f>
        <v>0.466666666666667</v>
      </c>
      <c r="L16" s="25" t="str">
        <f aca="false">IF(K16&lt;0,"Breach",IF(K16&lt;Settings!$B$6,"Near Breach","Pass"))</f>
        <v>Pass</v>
      </c>
      <c r="M16" s="26" t="str">
        <f aca="false">IF(OR(F16="Breach",L16="Breach"),"Breach",IF(OR(F16="Near Breach",L16="Near Breach"),"Near Breach","Pass"))</f>
        <v>Pass</v>
      </c>
    </row>
    <row r="17" customFormat="false" ht="15" hidden="false" customHeight="false" outlineLevel="0" collapsed="false">
      <c r="A17" s="9" t="str">
        <f aca="false">Loan_Register!A17</f>
        <v>PL-1013</v>
      </c>
      <c r="B17" s="9" t="str">
        <f aca="false">Loan_Register!B17</f>
        <v>Redbird Restaurant Group, LLC</v>
      </c>
      <c r="C17" s="23" t="n">
        <f aca="false">Loan_Register!O17</f>
        <v>1.25</v>
      </c>
      <c r="D17" s="23" t="n">
        <f aca="false">Loan_Register!Q17</f>
        <v>1.29</v>
      </c>
      <c r="E17" s="24" t="n">
        <f aca="false">(D17-C17)/C17</f>
        <v>0.032</v>
      </c>
      <c r="F17" s="25" t="str">
        <f aca="false">IF(E17&lt;0,"Breach",IF(E17&lt;Settings!$B$6,"Near Breach","Pass"))</f>
        <v>Near Breach</v>
      </c>
      <c r="G17" s="9" t="str">
        <f aca="false">Loan_Register!R17</f>
        <v>Minimum Liquidity</v>
      </c>
      <c r="H17" s="25" t="str">
        <f aca="false">Loan_Register!S17</f>
        <v>Min</v>
      </c>
      <c r="I17" s="28" t="n">
        <f aca="false">Loan_Register!T17</f>
        <v>250000</v>
      </c>
      <c r="J17" s="28" t="n">
        <f aca="false">Loan_Register!U17</f>
        <v>290000</v>
      </c>
      <c r="K17" s="24" t="n">
        <f aca="false">IF(H17="Max",(I17-J17)/I17,(J17-I17)/I17)</f>
        <v>0.16</v>
      </c>
      <c r="L17" s="25" t="str">
        <f aca="false">IF(K17&lt;0,"Breach",IF(K17&lt;Settings!$B$6,"Near Breach","Pass"))</f>
        <v>Pass</v>
      </c>
      <c r="M17" s="26" t="str">
        <f aca="false">IF(OR(F17="Breach",L17="Breach"),"Breach",IF(OR(F17="Near Breach",L17="Near Breach"),"Near Breach","Pass"))</f>
        <v>Near Breach</v>
      </c>
    </row>
    <row r="18" customFormat="false" ht="15" hidden="false" customHeight="false" outlineLevel="0" collapsed="false">
      <c r="A18" s="9" t="str">
        <f aca="false">Loan_Register!A18</f>
        <v>PL-1014</v>
      </c>
      <c r="B18" s="9" t="str">
        <f aca="false">Loan_Register!B18</f>
        <v>Gulf Coast Oilfield Rentals, LLC</v>
      </c>
      <c r="C18" s="23" t="n">
        <f aca="false">Loan_Register!O18</f>
        <v>1.25</v>
      </c>
      <c r="D18" s="23" t="n">
        <f aca="false">Loan_Register!Q18</f>
        <v>1.7</v>
      </c>
      <c r="E18" s="24" t="n">
        <f aca="false">(D18-C18)/C18</f>
        <v>0.36</v>
      </c>
      <c r="F18" s="25" t="str">
        <f aca="false">IF(E18&lt;0,"Breach",IF(E18&lt;Settings!$B$6,"Near Breach","Pass"))</f>
        <v>Pass</v>
      </c>
      <c r="G18" s="9" t="str">
        <f aca="false">Loan_Register!R18</f>
        <v>Funded Debt / EBITDA</v>
      </c>
      <c r="H18" s="25" t="str">
        <f aca="false">Loan_Register!S18</f>
        <v>Max</v>
      </c>
      <c r="I18" s="23" t="n">
        <f aca="false">Loan_Register!T18</f>
        <v>3</v>
      </c>
      <c r="J18" s="23" t="n">
        <f aca="false">Loan_Register!U18</f>
        <v>2.8</v>
      </c>
      <c r="K18" s="24" t="n">
        <f aca="false">IF(H18="Max",(I18-J18)/I18,(J18-I18)/I18)</f>
        <v>0.0666666666666667</v>
      </c>
      <c r="L18" s="25" t="str">
        <f aca="false">IF(K18&lt;0,"Breach",IF(K18&lt;Settings!$B$6,"Near Breach","Pass"))</f>
        <v>Near Breach</v>
      </c>
      <c r="M18" s="26" t="str">
        <f aca="false">IF(OR(F18="Breach",L18="Breach"),"Breach",IF(OR(F18="Near Breach",L18="Near Breach"),"Near Breach","Pass"))</f>
        <v>Near Breach</v>
      </c>
    </row>
    <row r="19" customFormat="false" ht="15" hidden="false" customHeight="false" outlineLevel="0" collapsed="false">
      <c r="A19" s="9" t="str">
        <f aca="false">Loan_Register!A19</f>
        <v>PL-1015</v>
      </c>
      <c r="B19" s="9" t="str">
        <f aca="false">Loan_Register!B19</f>
        <v>Meridian Physical Therapy Group, LLC</v>
      </c>
      <c r="C19" s="23" t="n">
        <f aca="false">Loan_Register!O19</f>
        <v>1.25</v>
      </c>
      <c r="D19" s="23" t="n">
        <f aca="false">Loan_Register!Q19</f>
        <v>2.05</v>
      </c>
      <c r="E19" s="24" t="n">
        <f aca="false">(D19-C19)/C19</f>
        <v>0.64</v>
      </c>
      <c r="F19" s="25" t="str">
        <f aca="false">IF(E19&lt;0,"Breach",IF(E19&lt;Settings!$B$6,"Near Breach","Pass"))</f>
        <v>Pass</v>
      </c>
      <c r="G19" s="9" t="str">
        <f aca="false">Loan_Register!R19</f>
        <v>Funded Debt / EBITDA</v>
      </c>
      <c r="H19" s="25" t="str">
        <f aca="false">Loan_Register!S19</f>
        <v>Max</v>
      </c>
      <c r="I19" s="23" t="n">
        <f aca="false">Loan_Register!T19</f>
        <v>3</v>
      </c>
      <c r="J19" s="23" t="n">
        <f aca="false">Loan_Register!U19</f>
        <v>1.5</v>
      </c>
      <c r="K19" s="24" t="n">
        <f aca="false">IF(H19="Max",(I19-J19)/I19,(J19-I19)/I19)</f>
        <v>0.5</v>
      </c>
      <c r="L19" s="25" t="str">
        <f aca="false">IF(K19&lt;0,"Breach",IF(K19&lt;Settings!$B$6,"Near Breach","Pass"))</f>
        <v>Pass</v>
      </c>
      <c r="M19" s="26" t="str">
        <f aca="false">IF(OR(F19="Breach",L19="Breach"),"Breach",IF(OR(F19="Near Breach",L19="Near Breach"),"Near Breach","Pass"))</f>
        <v>Pass</v>
      </c>
    </row>
    <row r="20" customFormat="false" ht="15" hidden="false" customHeight="false" outlineLevel="0" collapsed="false">
      <c r="A20" s="9" t="str">
        <f aca="false">Loan_Register!A20</f>
        <v>PL-1016</v>
      </c>
      <c r="B20" s="9" t="str">
        <f aca="false">Loan_Register!B20</f>
        <v>Pecan Street Self Storage, LLC</v>
      </c>
      <c r="C20" s="23" t="n">
        <f aca="false">Loan_Register!O20</f>
        <v>1.25</v>
      </c>
      <c r="D20" s="23" t="n">
        <f aca="false">Loan_Register!Q20</f>
        <v>1.71</v>
      </c>
      <c r="E20" s="24" t="n">
        <f aca="false">(D20-C20)/C20</f>
        <v>0.368</v>
      </c>
      <c r="F20" s="25" t="str">
        <f aca="false">IF(E20&lt;0,"Breach",IF(E20&lt;Settings!$B$6,"Near Breach","Pass"))</f>
        <v>Pass</v>
      </c>
      <c r="G20" s="9" t="str">
        <f aca="false">Loan_Register!R20</f>
        <v>Loan to Value</v>
      </c>
      <c r="H20" s="25" t="str">
        <f aca="false">Loan_Register!S20</f>
        <v>Max</v>
      </c>
      <c r="I20" s="27" t="n">
        <f aca="false">Loan_Register!T20</f>
        <v>0.75</v>
      </c>
      <c r="J20" s="27" t="n">
        <f aca="false">Loan_Register!U20</f>
        <v>0.6</v>
      </c>
      <c r="K20" s="24" t="n">
        <f aca="false">IF(H20="Max",(I20-J20)/I20,(J20-I20)/I20)</f>
        <v>0.2</v>
      </c>
      <c r="L20" s="25" t="str">
        <f aca="false">IF(K20&lt;0,"Breach",IF(K20&lt;Settings!$B$6,"Near Breach","Pass"))</f>
        <v>Pass</v>
      </c>
      <c r="M20" s="26" t="str">
        <f aca="false">IF(OR(F20="Breach",L20="Breach"),"Breach",IF(OR(F20="Near Breach",L20="Near Breach"),"Near Breach","Pass"))</f>
        <v>Pass</v>
      </c>
    </row>
    <row r="21" customFormat="false" ht="15" hidden="false" customHeight="false" outlineLevel="0" collapsed="false">
      <c r="A21" s="9" t="str">
        <f aca="false">Loan_Register!A21</f>
        <v>PL-1017</v>
      </c>
      <c r="B21" s="9" t="str">
        <f aca="false">Loan_Register!B21</f>
        <v>Allied Packaging Distributors, Inc.</v>
      </c>
      <c r="C21" s="23" t="n">
        <f aca="false">Loan_Register!O21</f>
        <v>1.25</v>
      </c>
      <c r="D21" s="23" t="n">
        <f aca="false">Loan_Register!Q21</f>
        <v>1.48</v>
      </c>
      <c r="E21" s="24" t="n">
        <f aca="false">(D21-C21)/C21</f>
        <v>0.184</v>
      </c>
      <c r="F21" s="25" t="str">
        <f aca="false">IF(E21&lt;0,"Breach",IF(E21&lt;Settings!$B$6,"Near Breach","Pass"))</f>
        <v>Pass</v>
      </c>
      <c r="G21" s="9" t="str">
        <f aca="false">Loan_Register!R21</f>
        <v>Debt / Worth</v>
      </c>
      <c r="H21" s="25" t="str">
        <f aca="false">Loan_Register!S21</f>
        <v>Max</v>
      </c>
      <c r="I21" s="23" t="n">
        <f aca="false">Loan_Register!T21</f>
        <v>3</v>
      </c>
      <c r="J21" s="23" t="n">
        <f aca="false">Loan_Register!U21</f>
        <v>2.2</v>
      </c>
      <c r="K21" s="24" t="n">
        <f aca="false">IF(H21="Max",(I21-J21)/I21,(J21-I21)/I21)</f>
        <v>0.266666666666667</v>
      </c>
      <c r="L21" s="25" t="str">
        <f aca="false">IF(K21&lt;0,"Breach",IF(K21&lt;Settings!$B$6,"Near Breach","Pass"))</f>
        <v>Pass</v>
      </c>
      <c r="M21" s="26" t="str">
        <f aca="false">IF(OR(F21="Breach",L21="Breach"),"Breach",IF(OR(F21="Near Breach",L21="Near Breach"),"Near Breach","Pass"))</f>
        <v>Pass</v>
      </c>
    </row>
    <row r="22" customFormat="false" ht="15" hidden="false" customHeight="false" outlineLevel="0" collapsed="false">
      <c r="A22" s="9" t="str">
        <f aca="false">Loan_Register!A22</f>
        <v>PL-1018</v>
      </c>
      <c r="B22" s="9" t="str">
        <f aca="false">Loan_Register!B22</f>
        <v>Northgate Senior Living, LLC</v>
      </c>
      <c r="C22" s="23" t="n">
        <f aca="false">Loan_Register!O22</f>
        <v>1.3</v>
      </c>
      <c r="D22" s="23" t="n">
        <f aca="false">Loan_Register!Q22</f>
        <v>1.31</v>
      </c>
      <c r="E22" s="24" t="n">
        <f aca="false">(D22-C22)/C22</f>
        <v>0.0076923076923077</v>
      </c>
      <c r="F22" s="25" t="str">
        <f aca="false">IF(E22&lt;0,"Breach",IF(E22&lt;Settings!$B$6,"Near Breach","Pass"))</f>
        <v>Near Breach</v>
      </c>
      <c r="G22" s="9" t="str">
        <f aca="false">Loan_Register!R22</f>
        <v>Loan to Value</v>
      </c>
      <c r="H22" s="25" t="str">
        <f aca="false">Loan_Register!S22</f>
        <v>Max</v>
      </c>
      <c r="I22" s="27" t="n">
        <f aca="false">Loan_Register!T22</f>
        <v>0.75</v>
      </c>
      <c r="J22" s="27" t="n">
        <f aca="false">Loan_Register!U22</f>
        <v>0.7</v>
      </c>
      <c r="K22" s="24" t="n">
        <f aca="false">IF(H22="Max",(I22-J22)/I22,(J22-I22)/I22)</f>
        <v>0.0666666666666667</v>
      </c>
      <c r="L22" s="25" t="str">
        <f aca="false">IF(K22&lt;0,"Breach",IF(K22&lt;Settings!$B$6,"Near Breach","Pass"))</f>
        <v>Near Breach</v>
      </c>
      <c r="M22" s="26" t="str">
        <f aca="false">IF(OR(F22="Breach",L22="Breach"),"Breach",IF(OR(F22="Near Breach",L22="Near Breach"),"Near Breach","Pass"))</f>
        <v>Near Breach</v>
      </c>
    </row>
    <row r="23" customFormat="false" ht="15" hidden="false" customHeight="false" outlineLevel="0" collapsed="false">
      <c r="A23" s="9" t="str">
        <f aca="false">Loan_Register!A23</f>
        <v>PL-1019</v>
      </c>
      <c r="B23" s="9" t="str">
        <f aca="false">Loan_Register!B23</f>
        <v>Clearwater HVAC Services, Inc.</v>
      </c>
      <c r="C23" s="23" t="n">
        <f aca="false">Loan_Register!O23</f>
        <v>1.25</v>
      </c>
      <c r="D23" s="23" t="n">
        <f aca="false">Loan_Register!Q23</f>
        <v>1.62</v>
      </c>
      <c r="E23" s="24" t="n">
        <f aca="false">(D23-C23)/C23</f>
        <v>0.296</v>
      </c>
      <c r="F23" s="25" t="str">
        <f aca="false">IF(E23&lt;0,"Breach",IF(E23&lt;Settings!$B$6,"Near Breach","Pass"))</f>
        <v>Pass</v>
      </c>
      <c r="G23" s="9" t="str">
        <f aca="false">Loan_Register!R23</f>
        <v>Debt / Worth</v>
      </c>
      <c r="H23" s="25" t="str">
        <f aca="false">Loan_Register!S23</f>
        <v>Max</v>
      </c>
      <c r="I23" s="23" t="n">
        <f aca="false">Loan_Register!T23</f>
        <v>3</v>
      </c>
      <c r="J23" s="23" t="n">
        <f aca="false">Loan_Register!U23</f>
        <v>1.7</v>
      </c>
      <c r="K23" s="24" t="n">
        <f aca="false">IF(H23="Max",(I23-J23)/I23,(J23-I23)/I23)</f>
        <v>0.433333333333333</v>
      </c>
      <c r="L23" s="25" t="str">
        <f aca="false">IF(K23&lt;0,"Breach",IF(K23&lt;Settings!$B$6,"Near Breach","Pass"))</f>
        <v>Pass</v>
      </c>
      <c r="M23" s="26" t="str">
        <f aca="false">IF(OR(F23="Breach",L23="Breach"),"Breach",IF(OR(F23="Near Breach",L23="Near Breach"),"Near Breach","Pass"))</f>
        <v>Pass</v>
      </c>
    </row>
    <row r="24" customFormat="false" ht="15" hidden="false" customHeight="false" outlineLevel="0" collapsed="false">
      <c r="A24" s="9" t="str">
        <f aca="false">Loan_Register!A24</f>
        <v>PL-1020</v>
      </c>
      <c r="B24" s="9" t="str">
        <f aca="false">Loan_Register!B24</f>
        <v>Sabine Marine Services, LLC</v>
      </c>
      <c r="C24" s="23" t="n">
        <f aca="false">Loan_Register!O24</f>
        <v>1.25</v>
      </c>
      <c r="D24" s="23" t="n">
        <f aca="false">Loan_Register!Q24</f>
        <v>1.4</v>
      </c>
      <c r="E24" s="24" t="n">
        <f aca="false">(D24-C24)/C24</f>
        <v>0.12</v>
      </c>
      <c r="F24" s="25" t="str">
        <f aca="false">IF(E24&lt;0,"Breach",IF(E24&lt;Settings!$B$6,"Near Breach","Pass"))</f>
        <v>Pass</v>
      </c>
      <c r="G24" s="9" t="str">
        <f aca="false">Loan_Register!R24</f>
        <v>Funded Debt / EBITDA</v>
      </c>
      <c r="H24" s="25" t="str">
        <f aca="false">Loan_Register!S24</f>
        <v>Max</v>
      </c>
      <c r="I24" s="23" t="n">
        <f aca="false">Loan_Register!T24</f>
        <v>3.5</v>
      </c>
      <c r="J24" s="23" t="n">
        <f aca="false">Loan_Register!U24</f>
        <v>2.6</v>
      </c>
      <c r="K24" s="24" t="n">
        <f aca="false">IF(H24="Max",(I24-J24)/I24,(J24-I24)/I24)</f>
        <v>0.257142857142857</v>
      </c>
      <c r="L24" s="25" t="str">
        <f aca="false">IF(K24&lt;0,"Breach",IF(K24&lt;Settings!$B$6,"Near Breach","Pass"))</f>
        <v>Pass</v>
      </c>
      <c r="M24" s="26" t="str">
        <f aca="false">IF(OR(F24="Breach",L24="Breach"),"Breach",IF(OR(F24="Near Breach",L24="Near Breach"),"Near Breach","Pass"))</f>
        <v>Pass</v>
      </c>
    </row>
    <row r="25" customFormat="false" ht="15" hidden="false" customHeight="false" outlineLevel="0" collapsed="false">
      <c r="A25" s="9" t="str">
        <f aca="false">Loan_Register!A25</f>
        <v>PL-1021</v>
      </c>
      <c r="B25" s="9" t="str">
        <f aca="false">Loan_Register!B25</f>
        <v>Heights Craft Brewing Co.</v>
      </c>
      <c r="C25" s="23" t="n">
        <f aca="false">Loan_Register!O25</f>
        <v>1.2</v>
      </c>
      <c r="D25" s="23" t="n">
        <f aca="false">Loan_Register!Q25</f>
        <v>0.94</v>
      </c>
      <c r="E25" s="24" t="n">
        <f aca="false">(D25-C25)/C25</f>
        <v>-0.216666666666667</v>
      </c>
      <c r="F25" s="25" t="str">
        <f aca="false">IF(E25&lt;0,"Breach",IF(E25&lt;Settings!$B$6,"Near Breach","Pass"))</f>
        <v>Breach</v>
      </c>
      <c r="G25" s="9" t="str">
        <f aca="false">Loan_Register!R25</f>
        <v>Minimum Liquidity</v>
      </c>
      <c r="H25" s="25" t="str">
        <f aca="false">Loan_Register!S25</f>
        <v>Min</v>
      </c>
      <c r="I25" s="28" t="n">
        <f aca="false">Loan_Register!T25</f>
        <v>150000</v>
      </c>
      <c r="J25" s="28" t="n">
        <f aca="false">Loan_Register!U25</f>
        <v>60000</v>
      </c>
      <c r="K25" s="24" t="n">
        <f aca="false">IF(H25="Max",(I25-J25)/I25,(J25-I25)/I25)</f>
        <v>-0.6</v>
      </c>
      <c r="L25" s="25" t="str">
        <f aca="false">IF(K25&lt;0,"Breach",IF(K25&lt;Settings!$B$6,"Near Breach","Pass"))</f>
        <v>Breach</v>
      </c>
      <c r="M25" s="26" t="str">
        <f aca="false">IF(OR(F25="Breach",L25="Breach"),"Breach",IF(OR(F25="Near Breach",L25="Near Breach"),"Near Breach","Pass"))</f>
        <v>Breach</v>
      </c>
    </row>
    <row r="26" customFormat="false" ht="15" hidden="false" customHeight="false" outlineLevel="0" collapsed="false">
      <c r="A26" s="9" t="str">
        <f aca="false">Loan_Register!A26</f>
        <v>PL-1022</v>
      </c>
      <c r="B26" s="9" t="str">
        <f aca="false">Loan_Register!B26</f>
        <v>Lakeside Veterinary Partners, LLC</v>
      </c>
      <c r="C26" s="23" t="n">
        <f aca="false">Loan_Register!O26</f>
        <v>1.25</v>
      </c>
      <c r="D26" s="23" t="n">
        <f aca="false">Loan_Register!Q26</f>
        <v>1.88</v>
      </c>
      <c r="E26" s="24" t="n">
        <f aca="false">(D26-C26)/C26</f>
        <v>0.504</v>
      </c>
      <c r="F26" s="25" t="str">
        <f aca="false">IF(E26&lt;0,"Breach",IF(E26&lt;Settings!$B$6,"Near Breach","Pass"))</f>
        <v>Pass</v>
      </c>
      <c r="G26" s="9" t="str">
        <f aca="false">Loan_Register!R26</f>
        <v>Funded Debt / EBITDA</v>
      </c>
      <c r="H26" s="25" t="str">
        <f aca="false">Loan_Register!S26</f>
        <v>Max</v>
      </c>
      <c r="I26" s="23" t="n">
        <f aca="false">Loan_Register!T26</f>
        <v>3</v>
      </c>
      <c r="J26" s="23" t="n">
        <f aca="false">Loan_Register!U26</f>
        <v>1.9</v>
      </c>
      <c r="K26" s="24" t="n">
        <f aca="false">IF(H26="Max",(I26-J26)/I26,(J26-I26)/I26)</f>
        <v>0.366666666666667</v>
      </c>
      <c r="L26" s="25" t="str">
        <f aca="false">IF(K26&lt;0,"Breach",IF(K26&lt;Settings!$B$6,"Near Breach","Pass"))</f>
        <v>Pass</v>
      </c>
      <c r="M26" s="26" t="str">
        <f aca="false">IF(OR(F26="Breach",L26="Breach"),"Breach",IF(OR(F26="Near Breach",L26="Near Breach"),"Near Breach","Pass"))</f>
        <v>Pass</v>
      </c>
    </row>
    <row r="27" customFormat="false" ht="15" hidden="false" customHeight="false" outlineLevel="0" collapsed="false">
      <c r="A27" s="9" t="str">
        <f aca="false">Loan_Register!A27</f>
        <v>PL-1023</v>
      </c>
      <c r="B27" s="9" t="str">
        <f aca="false">Loan_Register!B27</f>
        <v>Bellaire Industrial Flex, LLC</v>
      </c>
      <c r="C27" s="23" t="n">
        <f aca="false">Loan_Register!O27</f>
        <v>1.25</v>
      </c>
      <c r="D27" s="23" t="n">
        <f aca="false">Loan_Register!Q27</f>
        <v>1.58</v>
      </c>
      <c r="E27" s="24" t="n">
        <f aca="false">(D27-C27)/C27</f>
        <v>0.264</v>
      </c>
      <c r="F27" s="25" t="str">
        <f aca="false">IF(E27&lt;0,"Breach",IF(E27&lt;Settings!$B$6,"Near Breach","Pass"))</f>
        <v>Pass</v>
      </c>
      <c r="G27" s="9" t="str">
        <f aca="false">Loan_Register!R27</f>
        <v>Loan to Value</v>
      </c>
      <c r="H27" s="25" t="str">
        <f aca="false">Loan_Register!S27</f>
        <v>Max</v>
      </c>
      <c r="I27" s="27" t="n">
        <f aca="false">Loan_Register!T27</f>
        <v>0.75</v>
      </c>
      <c r="J27" s="27" t="n">
        <f aca="false">Loan_Register!U27</f>
        <v>0.58</v>
      </c>
      <c r="K27" s="24" t="n">
        <f aca="false">IF(H27="Max",(I27-J27)/I27,(J27-I27)/I27)</f>
        <v>0.226666666666667</v>
      </c>
      <c r="L27" s="25" t="str">
        <f aca="false">IF(K27&lt;0,"Breach",IF(K27&lt;Settings!$B$6,"Near Breach","Pass"))</f>
        <v>Pass</v>
      </c>
      <c r="M27" s="26" t="str">
        <f aca="false">IF(OR(F27="Breach",L27="Breach"),"Breach",IF(OR(F27="Near Breach",L27="Near Breach"),"Near Breach","Pass"))</f>
        <v>Pass</v>
      </c>
    </row>
    <row r="28" customFormat="false" ht="15" hidden="false" customHeight="false" outlineLevel="0" collapsed="false">
      <c r="A28" s="9" t="str">
        <f aca="false">Loan_Register!A28</f>
        <v>PL-1024</v>
      </c>
      <c r="B28" s="9" t="str">
        <f aca="false">Loan_Register!B28</f>
        <v>Texan Precision Plastics, LLC</v>
      </c>
      <c r="C28" s="23" t="n">
        <f aca="false">Loan_Register!O28</f>
        <v>1.25</v>
      </c>
      <c r="D28" s="23" t="n">
        <f aca="false">Loan_Register!Q28</f>
        <v>1.39</v>
      </c>
      <c r="E28" s="24" t="n">
        <f aca="false">(D28-C28)/C28</f>
        <v>0.112</v>
      </c>
      <c r="F28" s="25" t="str">
        <f aca="false">IF(E28&lt;0,"Breach",IF(E28&lt;Settings!$B$6,"Near Breach","Pass"))</f>
        <v>Pass</v>
      </c>
      <c r="G28" s="9" t="str">
        <f aca="false">Loan_Register!R28</f>
        <v>Funded Debt / EBITDA</v>
      </c>
      <c r="H28" s="25" t="str">
        <f aca="false">Loan_Register!S28</f>
        <v>Max</v>
      </c>
      <c r="I28" s="23" t="n">
        <f aca="false">Loan_Register!T28</f>
        <v>3</v>
      </c>
      <c r="J28" s="23" t="n">
        <f aca="false">Loan_Register!U28</f>
        <v>2.4</v>
      </c>
      <c r="K28" s="24" t="n">
        <f aca="false">IF(H28="Max",(I28-J28)/I28,(J28-I28)/I28)</f>
        <v>0.2</v>
      </c>
      <c r="L28" s="25" t="str">
        <f aca="false">IF(K28&lt;0,"Breach",IF(K28&lt;Settings!$B$6,"Near Breach","Pass"))</f>
        <v>Pass</v>
      </c>
      <c r="M28" s="26" t="str">
        <f aca="false">IF(OR(F28="Breach",L28="Breach"),"Breach",IF(OR(F28="Near Breach",L28="Near Breach"),"Near Breach","Pass"))</f>
        <v>Pass</v>
      </c>
    </row>
    <row r="30" customFormat="false" ht="30" hidden="false" customHeight="true" outlineLevel="0" collapsed="false">
      <c r="A30" s="5" t="s">
        <v>238</v>
      </c>
      <c r="B30" s="5"/>
      <c r="C30" s="5" t="s">
        <v>239</v>
      </c>
      <c r="D30" s="5" t="s">
        <v>105</v>
      </c>
    </row>
    <row r="31" customFormat="false" ht="15" hidden="false" customHeight="false" outlineLevel="0" collapsed="false">
      <c r="A31" s="6" t="s">
        <v>87</v>
      </c>
      <c r="C31" s="29" t="n">
        <f aca="false">COUNTIF($M$5:$M$28,A31)</f>
        <v>16</v>
      </c>
      <c r="D31" s="28" t="n">
        <f aca="false">SUMIF($M$5:$M$28,A31,Loan_Register!$G$5:$G$28)</f>
        <v>58240000</v>
      </c>
    </row>
    <row r="32" customFormat="false" ht="15" hidden="false" customHeight="false" outlineLevel="0" collapsed="false">
      <c r="A32" s="6" t="s">
        <v>240</v>
      </c>
      <c r="C32" s="29" t="n">
        <f aca="false">COUNTIF($M$5:$M$28,A32)</f>
        <v>4</v>
      </c>
      <c r="D32" s="28" t="n">
        <f aca="false">SUMIF($M$5:$M$28,A32,Loan_Register!$G$5:$G$28)</f>
        <v>29300000</v>
      </c>
    </row>
    <row r="33" customFormat="false" ht="15" hidden="false" customHeight="false" outlineLevel="0" collapsed="false">
      <c r="A33" s="6" t="s">
        <v>241</v>
      </c>
      <c r="C33" s="29" t="n">
        <f aca="false">COUNTIF($M$5:$M$28,A33)</f>
        <v>4</v>
      </c>
      <c r="D33" s="28" t="n">
        <f aca="false">SUMIF($M$5:$M$28,A33,Loan_Register!$G$5:$G$28)</f>
        <v>26400000</v>
      </c>
    </row>
  </sheetData>
  <conditionalFormatting sqref="F5:F28">
    <cfRule type="cellIs" priority="2" operator="equal" aboveAverage="0" equalAverage="0" bottom="0" percent="0" rank="0" text="" dxfId="0">
      <formula>"Breach"</formula>
    </cfRule>
    <cfRule type="cellIs" priority="3" operator="equal" aboveAverage="0" equalAverage="0" bottom="0" percent="0" rank="0" text="" dxfId="0">
      <formula>"Critical"</formula>
    </cfRule>
    <cfRule type="cellIs" priority="4" operator="equal" aboveAverage="0" equalAverage="0" bottom="0" percent="0" rank="0" text="" dxfId="0">
      <formula>"Outstanding past due"</formula>
    </cfRule>
    <cfRule type="cellIs" priority="5" operator="equal" aboveAverage="0" equalAverage="0" bottom="0" percent="0" rank="0" text="" dxfId="1">
      <formula>"Near Breach"</formula>
    </cfRule>
    <cfRule type="cellIs" priority="6" operator="equal" aboveAverage="0" equalAverage="0" bottom="0" percent="0" rank="0" text="" dxfId="1">
      <formula>"Watch"</formula>
    </cfRule>
    <cfRule type="cellIs" priority="7" operator="equal" aboveAverage="0" equalAverage="0" bottom="0" percent="0" rank="0" text="" dxfId="2">
      <formula>"Received late"</formula>
    </cfRule>
    <cfRule type="cellIs" priority="8" operator="equal" aboveAverage="0" equalAverage="0" bottom="0" percent="0" rank="0" text="" dxfId="2">
      <formula>"Monitor"</formula>
    </cfRule>
    <cfRule type="cellIs" priority="9" operator="equal" aboveAverage="0" equalAverage="0" bottom="0" percent="0" rank="0" text="" dxfId="0">
      <formula>"Late"</formula>
    </cfRule>
    <cfRule type="cellIs" priority="10" operator="equal" aboveAverage="0" equalAverage="0" bottom="0" percent="0" rank="0" text="" dxfId="1">
      <formula>"Near limit"</formula>
    </cfRule>
    <cfRule type="cellIs" priority="11" operator="equal" aboveAverage="0" equalAverage="0" bottom="0" percent="0" rank="0" text="" dxfId="0">
      <formula>"Over limit"</formula>
    </cfRule>
    <cfRule type="cellIs" priority="12" operator="equal" aboveAverage="0" equalAverage="0" bottom="0" percent="0" rank="0" text="" dxfId="2">
      <formula>"Maturing &lt;= 12 mo"</formula>
    </cfRule>
    <cfRule type="cellIs" priority="13" operator="equal" aboveAverage="0" equalAverage="0" bottom="0" percent="0" rank="0" text="" dxfId="3">
      <formula>"Pass"</formula>
    </cfRule>
    <cfRule type="cellIs" priority="14" operator="equal" aboveAverage="0" equalAverage="0" bottom="0" percent="0" rank="0" text="" dxfId="3">
      <formula>"Green"</formula>
    </cfRule>
    <cfRule type="cellIs" priority="15" operator="equal" aboveAverage="0" equalAverage="0" bottom="0" percent="0" rank="0" text="" dxfId="3">
      <formula>"Within limit"</formula>
    </cfRule>
  </conditionalFormatting>
  <conditionalFormatting sqref="L5:L28">
    <cfRule type="cellIs" priority="16" operator="equal" aboveAverage="0" equalAverage="0" bottom="0" percent="0" rank="0" text="" dxfId="0">
      <formula>"Breach"</formula>
    </cfRule>
    <cfRule type="cellIs" priority="17" operator="equal" aboveAverage="0" equalAverage="0" bottom="0" percent="0" rank="0" text="" dxfId="0">
      <formula>"Critical"</formula>
    </cfRule>
    <cfRule type="cellIs" priority="18" operator="equal" aboveAverage="0" equalAverage="0" bottom="0" percent="0" rank="0" text="" dxfId="0">
      <formula>"Outstanding past due"</formula>
    </cfRule>
    <cfRule type="cellIs" priority="19" operator="equal" aboveAverage="0" equalAverage="0" bottom="0" percent="0" rank="0" text="" dxfId="1">
      <formula>"Near Breach"</formula>
    </cfRule>
    <cfRule type="cellIs" priority="20" operator="equal" aboveAverage="0" equalAverage="0" bottom="0" percent="0" rank="0" text="" dxfId="1">
      <formula>"Watch"</formula>
    </cfRule>
    <cfRule type="cellIs" priority="21" operator="equal" aboveAverage="0" equalAverage="0" bottom="0" percent="0" rank="0" text="" dxfId="2">
      <formula>"Received late"</formula>
    </cfRule>
    <cfRule type="cellIs" priority="22" operator="equal" aboveAverage="0" equalAverage="0" bottom="0" percent="0" rank="0" text="" dxfId="2">
      <formula>"Monitor"</formula>
    </cfRule>
    <cfRule type="cellIs" priority="23" operator="equal" aboveAverage="0" equalAverage="0" bottom="0" percent="0" rank="0" text="" dxfId="0">
      <formula>"Late"</formula>
    </cfRule>
    <cfRule type="cellIs" priority="24" operator="equal" aboveAverage="0" equalAverage="0" bottom="0" percent="0" rank="0" text="" dxfId="1">
      <formula>"Near limit"</formula>
    </cfRule>
    <cfRule type="cellIs" priority="25" operator="equal" aboveAverage="0" equalAverage="0" bottom="0" percent="0" rank="0" text="" dxfId="0">
      <formula>"Over limit"</formula>
    </cfRule>
    <cfRule type="cellIs" priority="26" operator="equal" aboveAverage="0" equalAverage="0" bottom="0" percent="0" rank="0" text="" dxfId="2">
      <formula>"Maturing &lt;= 12 mo"</formula>
    </cfRule>
    <cfRule type="cellIs" priority="27" operator="equal" aboveAverage="0" equalAverage="0" bottom="0" percent="0" rank="0" text="" dxfId="3">
      <formula>"Pass"</formula>
    </cfRule>
    <cfRule type="cellIs" priority="28" operator="equal" aboveAverage="0" equalAverage="0" bottom="0" percent="0" rank="0" text="" dxfId="3">
      <formula>"Green"</formula>
    </cfRule>
    <cfRule type="cellIs" priority="29" operator="equal" aboveAverage="0" equalAverage="0" bottom="0" percent="0" rank="0" text="" dxfId="3">
      <formula>"Within limit"</formula>
    </cfRule>
  </conditionalFormatting>
  <conditionalFormatting sqref="M5:M28">
    <cfRule type="cellIs" priority="30" operator="equal" aboveAverage="0" equalAverage="0" bottom="0" percent="0" rank="0" text="" dxfId="0">
      <formula>"Breach"</formula>
    </cfRule>
    <cfRule type="cellIs" priority="31" operator="equal" aboveAverage="0" equalAverage="0" bottom="0" percent="0" rank="0" text="" dxfId="0">
      <formula>"Critical"</formula>
    </cfRule>
    <cfRule type="cellIs" priority="32" operator="equal" aboveAverage="0" equalAverage="0" bottom="0" percent="0" rank="0" text="" dxfId="0">
      <formula>"Outstanding past due"</formula>
    </cfRule>
    <cfRule type="cellIs" priority="33" operator="equal" aboveAverage="0" equalAverage="0" bottom="0" percent="0" rank="0" text="" dxfId="1">
      <formula>"Near Breach"</formula>
    </cfRule>
    <cfRule type="cellIs" priority="34" operator="equal" aboveAverage="0" equalAverage="0" bottom="0" percent="0" rank="0" text="" dxfId="1">
      <formula>"Watch"</formula>
    </cfRule>
    <cfRule type="cellIs" priority="35" operator="equal" aboveAverage="0" equalAverage="0" bottom="0" percent="0" rank="0" text="" dxfId="2">
      <formula>"Received late"</formula>
    </cfRule>
    <cfRule type="cellIs" priority="36" operator="equal" aboveAverage="0" equalAverage="0" bottom="0" percent="0" rank="0" text="" dxfId="2">
      <formula>"Monitor"</formula>
    </cfRule>
    <cfRule type="cellIs" priority="37" operator="equal" aboveAverage="0" equalAverage="0" bottom="0" percent="0" rank="0" text="" dxfId="0">
      <formula>"Late"</formula>
    </cfRule>
    <cfRule type="cellIs" priority="38" operator="equal" aboveAverage="0" equalAverage="0" bottom="0" percent="0" rank="0" text="" dxfId="1">
      <formula>"Near limit"</formula>
    </cfRule>
    <cfRule type="cellIs" priority="39" operator="equal" aboveAverage="0" equalAverage="0" bottom="0" percent="0" rank="0" text="" dxfId="0">
      <formula>"Over limit"</formula>
    </cfRule>
    <cfRule type="cellIs" priority="40" operator="equal" aboveAverage="0" equalAverage="0" bottom="0" percent="0" rank="0" text="" dxfId="2">
      <formula>"Maturing &lt;= 12 mo"</formula>
    </cfRule>
    <cfRule type="cellIs" priority="41" operator="equal" aboveAverage="0" equalAverage="0" bottom="0" percent="0" rank="0" text="" dxfId="3">
      <formula>"Pass"</formula>
    </cfRule>
    <cfRule type="cellIs" priority="42" operator="equal" aboveAverage="0" equalAverage="0" bottom="0" percent="0" rank="0" text="" dxfId="3">
      <formula>"Green"</formula>
    </cfRule>
    <cfRule type="cellIs" priority="43" operator="equal" aboveAverage="0" equalAverage="0" bottom="0" percent="0" rank="0" text="" dxfId="3">
      <formula>"Within limit"</formula>
    </cfRule>
  </conditionalFormatting>
  <conditionalFormatting sqref="A31:A33">
    <cfRule type="cellIs" priority="44" operator="equal" aboveAverage="0" equalAverage="0" bottom="0" percent="0" rank="0" text="" dxfId="0">
      <formula>"Breach"</formula>
    </cfRule>
    <cfRule type="cellIs" priority="45" operator="equal" aboveAverage="0" equalAverage="0" bottom="0" percent="0" rank="0" text="" dxfId="0">
      <formula>"Critical"</formula>
    </cfRule>
    <cfRule type="cellIs" priority="46" operator="equal" aboveAverage="0" equalAverage="0" bottom="0" percent="0" rank="0" text="" dxfId="0">
      <formula>"Outstanding past due"</formula>
    </cfRule>
    <cfRule type="cellIs" priority="47" operator="equal" aboveAverage="0" equalAverage="0" bottom="0" percent="0" rank="0" text="" dxfId="1">
      <formula>"Near Breach"</formula>
    </cfRule>
    <cfRule type="cellIs" priority="48" operator="equal" aboveAverage="0" equalAverage="0" bottom="0" percent="0" rank="0" text="" dxfId="1">
      <formula>"Watch"</formula>
    </cfRule>
    <cfRule type="cellIs" priority="49" operator="equal" aboveAverage="0" equalAverage="0" bottom="0" percent="0" rank="0" text="" dxfId="2">
      <formula>"Received late"</formula>
    </cfRule>
    <cfRule type="cellIs" priority="50" operator="equal" aboveAverage="0" equalAverage="0" bottom="0" percent="0" rank="0" text="" dxfId="2">
      <formula>"Monitor"</formula>
    </cfRule>
    <cfRule type="cellIs" priority="51" operator="equal" aboveAverage="0" equalAverage="0" bottom="0" percent="0" rank="0" text="" dxfId="0">
      <formula>"Late"</formula>
    </cfRule>
    <cfRule type="cellIs" priority="52" operator="equal" aboveAverage="0" equalAverage="0" bottom="0" percent="0" rank="0" text="" dxfId="1">
      <formula>"Near limit"</formula>
    </cfRule>
    <cfRule type="cellIs" priority="53" operator="equal" aboveAverage="0" equalAverage="0" bottom="0" percent="0" rank="0" text="" dxfId="0">
      <formula>"Over limit"</formula>
    </cfRule>
    <cfRule type="cellIs" priority="54" operator="equal" aboveAverage="0" equalAverage="0" bottom="0" percent="0" rank="0" text="" dxfId="2">
      <formula>"Maturing &lt;= 12 mo"</formula>
    </cfRule>
    <cfRule type="cellIs" priority="55" operator="equal" aboveAverage="0" equalAverage="0" bottom="0" percent="0" rank="0" text="" dxfId="3">
      <formula>"Pass"</formula>
    </cfRule>
    <cfRule type="cellIs" priority="56" operator="equal" aboveAverage="0" equalAverage="0" bottom="0" percent="0" rank="0" text="" dxfId="3">
      <formula>"Green"</formula>
    </cfRule>
    <cfRule type="cellIs" priority="57" operator="equal" aboveAverage="0" equalAverage="0" bottom="0" percent="0" rank="0" text="" dxfId="3">
      <formula>"Within limit"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0" min="10" style="0" width="10"/>
    <col collapsed="false" customWidth="true" hidden="false" outlineLevel="0" max="12" min="11" style="0" width="11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9"/>
  </cols>
  <sheetData>
    <row r="1" customFormat="false" ht="17.35" hidden="false" customHeight="false" outlineLevel="0" collapsed="false">
      <c r="A1" s="10" t="s">
        <v>242</v>
      </c>
    </row>
    <row r="2" customFormat="false" ht="15" hidden="false" customHeight="false" outlineLevel="0" collapsed="false">
      <c r="A2" s="3" t="s">
        <v>243</v>
      </c>
    </row>
    <row r="4" customFormat="false" ht="30" hidden="false" customHeight="true" outlineLevel="0" collapsed="false">
      <c r="A4" s="5" t="s">
        <v>99</v>
      </c>
      <c r="B4" s="5" t="s">
        <v>100</v>
      </c>
      <c r="C4" s="5" t="s">
        <v>105</v>
      </c>
      <c r="D4" s="5" t="s">
        <v>244</v>
      </c>
      <c r="E4" s="5" t="s">
        <v>245</v>
      </c>
      <c r="F4" s="5" t="s">
        <v>246</v>
      </c>
      <c r="G4" s="5" t="s">
        <v>247</v>
      </c>
      <c r="H4" s="5" t="s">
        <v>248</v>
      </c>
      <c r="I4" s="5" t="s">
        <v>249</v>
      </c>
      <c r="J4" s="5" t="s">
        <v>250</v>
      </c>
      <c r="K4" s="5" t="s">
        <v>251</v>
      </c>
      <c r="L4" s="5" t="s">
        <v>252</v>
      </c>
      <c r="M4" s="5" t="s">
        <v>253</v>
      </c>
      <c r="N4" s="5" t="s">
        <v>254</v>
      </c>
      <c r="O4" s="5" t="s">
        <v>255</v>
      </c>
      <c r="P4" s="5" t="s">
        <v>256</v>
      </c>
    </row>
    <row r="5" customFormat="false" ht="15" hidden="false" customHeight="false" outlineLevel="0" collapsed="false">
      <c r="A5" s="9" t="str">
        <f aca="false">Loan_Register!A5</f>
        <v>PL-1001</v>
      </c>
      <c r="B5" s="9" t="str">
        <f aca="false">Loan_Register!B5</f>
        <v>Brazos Bend Fabrication, LLC</v>
      </c>
      <c r="C5" s="28" t="n">
        <f aca="false">Loan_Register!G5</f>
        <v>2380000</v>
      </c>
      <c r="D5" s="27" t="n">
        <f aca="false">Loan_Register!Q5/Loan_Register!P5-1</f>
        <v>0.137566137566138</v>
      </c>
      <c r="E5" s="30" t="n">
        <f aca="false">IF(Covenant_Test!M5="Breach",Settings!$B$13,IF(Covenant_Test!M5="Near Breach",Settings!$B$14,0))</f>
        <v>0</v>
      </c>
      <c r="F5" s="30" t="n">
        <f aca="false">IF(D5&lt;=-Settings!$B$7,Settings!$B$15,0)</f>
        <v>0</v>
      </c>
      <c r="G5" s="30" t="n">
        <f aca="false">IF(Loan_Register!M5&gt;=30,Settings!$B$16,IF(Loan_Register!M5&gt;=15,Settings!$B$17,0))</f>
        <v>0</v>
      </c>
      <c r="H5" s="30" t="n">
        <f aca="false">IF(OR(AND(Loan_Register!W5="",Settings!$B$5&gt;Loan_Register!V5),AND(Loan_Register!W5&lt;&gt;"",Loan_Register!W5&gt;Loan_Register!V5),AND(Loan_Register!Y5="",Settings!$B$5&gt;Loan_Register!X5),AND(Loan_Register!Y5&lt;&gt;"",Loan_Register!Y5&gt;Loan_Register!X5)),Settings!$B$18,0)</f>
        <v>0</v>
      </c>
      <c r="I5" s="30" t="n">
        <f aca="false">IF(Loan_Register!H5="Y",IF(Settings!$B$5-Loan_Register!Z5&gt;Settings!$B$8,Settings!$B$19,0),0)</f>
        <v>0</v>
      </c>
      <c r="J5" s="30" t="n">
        <f aca="false">IF(Loan_Register!L5&gt;Loan_Register!K5,Settings!$B$20,0)</f>
        <v>0</v>
      </c>
      <c r="K5" s="30" t="n">
        <f aca="false">IF(Loan_Register!N5&lt;1,Settings!$B$21,0)</f>
        <v>0</v>
      </c>
      <c r="L5" s="30" t="n">
        <f aca="false">IF(AND(Loan_Register!H5="Y",P5&gt;Settings!$B$9),Settings!$B$22,0)</f>
        <v>0</v>
      </c>
      <c r="M5" s="31" t="n">
        <f aca="false">SUM(E5:L5)</f>
        <v>0</v>
      </c>
      <c r="N5" s="25" t="str">
        <f aca="false">IF(M5&gt;=Settings!$B$25,"Critical",IF(M5&gt;=Settings!$B$26,"Watch",IF(M5&gt;=Settings!$B$27,"Monitor","Green")))</f>
        <v>Green</v>
      </c>
      <c r="O5" s="30" t="str">
        <f aca="false">IF(M5&gt;=Settings!$B$26,COUNTIF($M$5:$M$28,"&gt;"&amp;M5)+COUNTIF($M$5:M5,M5),"")</f>
        <v/>
      </c>
      <c r="P5" s="27" t="n">
        <f aca="false">Loan_Register!G5/Loan_Register!F5</f>
        <v>0.838028169014085</v>
      </c>
    </row>
    <row r="6" customFormat="false" ht="15" hidden="false" customHeight="false" outlineLevel="0" collapsed="false">
      <c r="A6" s="9" t="str">
        <f aca="false">Loan_Register!A6</f>
        <v>PL-1002</v>
      </c>
      <c r="B6" s="9" t="str">
        <f aca="false">Loan_Register!B6</f>
        <v>Gulfway Cold Storage Partners, LP</v>
      </c>
      <c r="C6" s="28" t="n">
        <f aca="false">Loan_Register!G6</f>
        <v>9120000</v>
      </c>
      <c r="D6" s="27" t="n">
        <f aca="false">Loan_Register!Q6/Loan_Register!P6-1</f>
        <v>0.0125</v>
      </c>
      <c r="E6" s="30" t="n">
        <f aca="false">IF(Covenant_Test!M6="Breach",Settings!$B$13,IF(Covenant_Test!M6="Near Breach",Settings!$B$14,0))</f>
        <v>0</v>
      </c>
      <c r="F6" s="30" t="n">
        <f aca="false">IF(D6&lt;=-Settings!$B$7,Settings!$B$15,0)</f>
        <v>0</v>
      </c>
      <c r="G6" s="30" t="n">
        <f aca="false">IF(Loan_Register!M6&gt;=30,Settings!$B$16,IF(Loan_Register!M6&gt;=15,Settings!$B$17,0))</f>
        <v>0</v>
      </c>
      <c r="H6" s="30" t="n">
        <f aca="false">IF(OR(AND(Loan_Register!W6="",Settings!$B$5&gt;Loan_Register!V6),AND(Loan_Register!W6&lt;&gt;"",Loan_Register!W6&gt;Loan_Register!V6),AND(Loan_Register!Y6="",Settings!$B$5&gt;Loan_Register!X6),AND(Loan_Register!Y6&lt;&gt;"",Loan_Register!Y6&gt;Loan_Register!X6)),Settings!$B$18,0)</f>
        <v>0</v>
      </c>
      <c r="I6" s="30" t="n">
        <f aca="false">IF(Loan_Register!H6="Y",IF(Settings!$B$5-Loan_Register!Z6&gt;Settings!$B$8,Settings!$B$19,0),0)</f>
        <v>0</v>
      </c>
      <c r="J6" s="30" t="n">
        <f aca="false">IF(Loan_Register!L6&gt;Loan_Register!K6,Settings!$B$20,0)</f>
        <v>0</v>
      </c>
      <c r="K6" s="30" t="n">
        <f aca="false">IF(Loan_Register!N6&lt;1,Settings!$B$21,0)</f>
        <v>0</v>
      </c>
      <c r="L6" s="30" t="n">
        <f aca="false">IF(AND(Loan_Register!H6="Y",P6&gt;Settings!$B$9),Settings!$B$22,0)</f>
        <v>0</v>
      </c>
      <c r="M6" s="31" t="n">
        <f aca="false">SUM(E6:L6)</f>
        <v>0</v>
      </c>
      <c r="N6" s="25" t="str">
        <f aca="false">IF(M6&gt;=Settings!$B$25,"Critical",IF(M6&gt;=Settings!$B$26,"Watch",IF(M6&gt;=Settings!$B$27,"Monitor","Green")))</f>
        <v>Green</v>
      </c>
      <c r="O6" s="30" t="str">
        <f aca="false">IF(M6&gt;=Settings!$B$26,COUNTIF($M$5:$M$28,"&gt;"&amp;M6)+COUNTIF($M$5:M6,M6),"")</f>
        <v/>
      </c>
      <c r="P6" s="27" t="n">
        <f aca="false">Loan_Register!G6/Loan_Register!F6</f>
        <v>0.96</v>
      </c>
    </row>
    <row r="7" customFormat="false" ht="15" hidden="false" customHeight="false" outlineLevel="0" collapsed="false">
      <c r="A7" s="9" t="str">
        <f aca="false">Loan_Register!A7</f>
        <v>PL-1003</v>
      </c>
      <c r="B7" s="9" t="str">
        <f aca="false">Loan_Register!B7</f>
        <v>Bayou City Pediatric Associates, PA</v>
      </c>
      <c r="C7" s="28" t="n">
        <f aca="false">Loan_Register!G7</f>
        <v>2400000</v>
      </c>
      <c r="D7" s="27" t="n">
        <f aca="false">Loan_Register!Q7/Loan_Register!P7-1</f>
        <v>-0.0364583333333333</v>
      </c>
      <c r="E7" s="30" t="n">
        <f aca="false">IF(Covenant_Test!M7="Breach",Settings!$B$13,IF(Covenant_Test!M7="Near Breach",Settings!$B$14,0))</f>
        <v>0</v>
      </c>
      <c r="F7" s="30" t="n">
        <f aca="false">IF(D7&lt;=-Settings!$B$7,Settings!$B$15,0)</f>
        <v>0</v>
      </c>
      <c r="G7" s="30" t="n">
        <f aca="false">IF(Loan_Register!M7&gt;=30,Settings!$B$16,IF(Loan_Register!M7&gt;=15,Settings!$B$17,0))</f>
        <v>0</v>
      </c>
      <c r="H7" s="30" t="n">
        <f aca="false">IF(OR(AND(Loan_Register!W7="",Settings!$B$5&gt;Loan_Register!V7),AND(Loan_Register!W7&lt;&gt;"",Loan_Register!W7&gt;Loan_Register!V7),AND(Loan_Register!Y7="",Settings!$B$5&gt;Loan_Register!X7),AND(Loan_Register!Y7&lt;&gt;"",Loan_Register!Y7&gt;Loan_Register!X7)),Settings!$B$18,0)</f>
        <v>0</v>
      </c>
      <c r="I7" s="30" t="n">
        <f aca="false">IF(Loan_Register!H7="Y",IF(Settings!$B$5-Loan_Register!Z7&gt;Settings!$B$8,Settings!$B$19,0),0)</f>
        <v>0</v>
      </c>
      <c r="J7" s="30" t="n">
        <f aca="false">IF(Loan_Register!L7&gt;Loan_Register!K7,Settings!$B$20,0)</f>
        <v>0</v>
      </c>
      <c r="K7" s="30" t="n">
        <f aca="false">IF(Loan_Register!N7&lt;1,Settings!$B$21,0)</f>
        <v>0</v>
      </c>
      <c r="L7" s="30" t="n">
        <f aca="false">IF(AND(Loan_Register!H7="Y",P7&gt;Settings!$B$9),Settings!$B$22,0)</f>
        <v>0</v>
      </c>
      <c r="M7" s="31" t="n">
        <f aca="false">SUM(E7:L7)</f>
        <v>0</v>
      </c>
      <c r="N7" s="25" t="str">
        <f aca="false">IF(M7&gt;=Settings!$B$25,"Critical",IF(M7&gt;=Settings!$B$26,"Watch",IF(M7&gt;=Settings!$B$27,"Monitor","Green")))</f>
        <v>Green</v>
      </c>
      <c r="O7" s="30" t="str">
        <f aca="false">IF(M7&gt;=Settings!$B$26,COUNTIF($M$5:$M$28,"&gt;"&amp;M7)+COUNTIF($M$5:M7,M7),"")</f>
        <v/>
      </c>
      <c r="P7" s="27" t="n">
        <f aca="false">Loan_Register!G7/Loan_Register!F7</f>
        <v>0.75</v>
      </c>
    </row>
    <row r="8" customFormat="false" ht="15" hidden="false" customHeight="false" outlineLevel="0" collapsed="false">
      <c r="A8" s="9" t="str">
        <f aca="false">Loan_Register!A8</f>
        <v>PL-1004</v>
      </c>
      <c r="B8" s="9" t="str">
        <f aca="false">Loan_Register!B8</f>
        <v>Cypress Ridge Apartments, LP</v>
      </c>
      <c r="C8" s="28" t="n">
        <f aca="false">Loan_Register!G8</f>
        <v>13700000</v>
      </c>
      <c r="D8" s="27" t="n">
        <f aca="false">Loan_Register!Q8/Loan_Register!P8-1</f>
        <v>-0.123188405797101</v>
      </c>
      <c r="E8" s="30" t="n">
        <f aca="false">IF(Covenant_Test!M8="Breach",Settings!$B$13,IF(Covenant_Test!M8="Near Breach",Settings!$B$14,0))</f>
        <v>1</v>
      </c>
      <c r="F8" s="30" t="n">
        <f aca="false">IF(D8&lt;=-Settings!$B$7,Settings!$B$15,0)</f>
        <v>0</v>
      </c>
      <c r="G8" s="30" t="n">
        <f aca="false">IF(Loan_Register!M8&gt;=30,Settings!$B$16,IF(Loan_Register!M8&gt;=15,Settings!$B$17,0))</f>
        <v>0</v>
      </c>
      <c r="H8" s="30" t="n">
        <f aca="false">IF(OR(AND(Loan_Register!W8="",Settings!$B$5&gt;Loan_Register!V8),AND(Loan_Register!W8&lt;&gt;"",Loan_Register!W8&gt;Loan_Register!V8),AND(Loan_Register!Y8="",Settings!$B$5&gt;Loan_Register!X8),AND(Loan_Register!Y8&lt;&gt;"",Loan_Register!Y8&gt;Loan_Register!X8)),Settings!$B$18,0)</f>
        <v>0</v>
      </c>
      <c r="I8" s="30" t="n">
        <f aca="false">IF(Loan_Register!H8="Y",IF(Settings!$B$5-Loan_Register!Z8&gt;Settings!$B$8,Settings!$B$19,0),0)</f>
        <v>0</v>
      </c>
      <c r="J8" s="30" t="n">
        <f aca="false">IF(Loan_Register!L8&gt;Loan_Register!K8,Settings!$B$20,0)</f>
        <v>2</v>
      </c>
      <c r="K8" s="30" t="n">
        <f aca="false">IF(Loan_Register!N8&lt;1,Settings!$B$21,0)</f>
        <v>0</v>
      </c>
      <c r="L8" s="30" t="n">
        <f aca="false">IF(AND(Loan_Register!H8="Y",P8&gt;Settings!$B$9),Settings!$B$22,0)</f>
        <v>0</v>
      </c>
      <c r="M8" s="31" t="n">
        <f aca="false">SUM(E8:L8)</f>
        <v>3</v>
      </c>
      <c r="N8" s="25" t="str">
        <f aca="false">IF(M8&gt;=Settings!$B$25,"Critical",IF(M8&gt;=Settings!$B$26,"Watch",IF(M8&gt;=Settings!$B$27,"Monitor","Green")))</f>
        <v>Watch</v>
      </c>
      <c r="O8" s="30" t="n">
        <f aca="false">IF(M8&gt;=Settings!$B$26,COUNTIF($M$5:$M$28,"&gt;"&amp;M8)+COUNTIF($M$5:M8,M8),"")</f>
        <v>5</v>
      </c>
      <c r="P8" s="27" t="n">
        <f aca="false">Loan_Register!G8/Loan_Register!F8</f>
        <v>0.978571428571429</v>
      </c>
    </row>
    <row r="9" customFormat="false" ht="15" hidden="false" customHeight="false" outlineLevel="0" collapsed="false">
      <c r="A9" s="9" t="str">
        <f aca="false">Loan_Register!A9</f>
        <v>PL-1005</v>
      </c>
      <c r="B9" s="9" t="str">
        <f aca="false">Loan_Register!B9</f>
        <v>Lone Oak Hospitality, Inc.</v>
      </c>
      <c r="C9" s="28" t="n">
        <f aca="false">Loan_Register!G9</f>
        <v>7950000</v>
      </c>
      <c r="D9" s="27" t="n">
        <f aca="false">Loan_Register!Q9/Loan_Register!P9-1</f>
        <v>-0.0924369747899159</v>
      </c>
      <c r="E9" s="30" t="n">
        <f aca="false">IF(Covenant_Test!M9="Breach",Settings!$B$13,IF(Covenant_Test!M9="Near Breach",Settings!$B$14,0))</f>
        <v>3</v>
      </c>
      <c r="F9" s="30" t="n">
        <f aca="false">IF(D9&lt;=-Settings!$B$7,Settings!$B$15,0)</f>
        <v>0</v>
      </c>
      <c r="G9" s="30" t="n">
        <f aca="false">IF(Loan_Register!M9&gt;=30,Settings!$B$16,IF(Loan_Register!M9&gt;=15,Settings!$B$17,0))</f>
        <v>0</v>
      </c>
      <c r="H9" s="30" t="n">
        <f aca="false">IF(OR(AND(Loan_Register!W9="",Settings!$B$5&gt;Loan_Register!V9),AND(Loan_Register!W9&lt;&gt;"",Loan_Register!W9&gt;Loan_Register!V9),AND(Loan_Register!Y9="",Settings!$B$5&gt;Loan_Register!X9),AND(Loan_Register!Y9&lt;&gt;"",Loan_Register!Y9&gt;Loan_Register!X9)),Settings!$B$18,0)</f>
        <v>0</v>
      </c>
      <c r="I9" s="30" t="n">
        <f aca="false">IF(Loan_Register!H9="Y",IF(Settings!$B$5-Loan_Register!Z9&gt;Settings!$B$8,Settings!$B$19,0),0)</f>
        <v>0</v>
      </c>
      <c r="J9" s="30" t="n">
        <f aca="false">IF(Loan_Register!L9&gt;Loan_Register!K9,Settings!$B$20,0)</f>
        <v>2</v>
      </c>
      <c r="K9" s="30" t="n">
        <f aca="false">IF(Loan_Register!N9&lt;1,Settings!$B$21,0)</f>
        <v>0</v>
      </c>
      <c r="L9" s="30" t="n">
        <f aca="false">IF(AND(Loan_Register!H9="Y",P9&gt;Settings!$B$9),Settings!$B$22,0)</f>
        <v>0</v>
      </c>
      <c r="M9" s="31" t="n">
        <f aca="false">SUM(E9:L9)</f>
        <v>5</v>
      </c>
      <c r="N9" s="25" t="str">
        <f aca="false">IF(M9&gt;=Settings!$B$25,"Critical",IF(M9&gt;=Settings!$B$26,"Watch",IF(M9&gt;=Settings!$B$27,"Monitor","Green")))</f>
        <v>Critical</v>
      </c>
      <c r="O9" s="30" t="n">
        <f aca="false">IF(M9&gt;=Settings!$B$26,COUNTIF($M$5:$M$28,"&gt;"&amp;M9)+COUNTIF($M$5:M9,M9),"")</f>
        <v>4</v>
      </c>
      <c r="P9" s="27" t="n">
        <f aca="false">Loan_Register!G9/Loan_Register!F9</f>
        <v>0.969512195121951</v>
      </c>
    </row>
    <row r="10" customFormat="false" ht="15" hidden="false" customHeight="false" outlineLevel="0" collapsed="false">
      <c r="A10" s="9" t="str">
        <f aca="false">Loan_Register!A10</f>
        <v>PL-1006</v>
      </c>
      <c r="B10" s="9" t="str">
        <f aca="false">Loan_Register!B10</f>
        <v>Copperline Electrical Contractors, Inc.</v>
      </c>
      <c r="C10" s="28" t="n">
        <f aca="false">Loan_Register!G10</f>
        <v>4140000</v>
      </c>
      <c r="D10" s="27" t="n">
        <f aca="false">Loan_Register!Q10/Loan_Register!P10-1</f>
        <v>-0.0204081632653061</v>
      </c>
      <c r="E10" s="30" t="n">
        <f aca="false">IF(Covenant_Test!M10="Breach",Settings!$B$13,IF(Covenant_Test!M10="Near Breach",Settings!$B$14,0))</f>
        <v>0</v>
      </c>
      <c r="F10" s="30" t="n">
        <f aca="false">IF(D10&lt;=-Settings!$B$7,Settings!$B$15,0)</f>
        <v>0</v>
      </c>
      <c r="G10" s="30" t="n">
        <f aca="false">IF(Loan_Register!M10&gt;=30,Settings!$B$16,IF(Loan_Register!M10&gt;=15,Settings!$B$17,0))</f>
        <v>0</v>
      </c>
      <c r="H10" s="30" t="n">
        <f aca="false">IF(OR(AND(Loan_Register!W10="",Settings!$B$5&gt;Loan_Register!V10),AND(Loan_Register!W10&lt;&gt;"",Loan_Register!W10&gt;Loan_Register!V10),AND(Loan_Register!Y10="",Settings!$B$5&gt;Loan_Register!X10),AND(Loan_Register!Y10&lt;&gt;"",Loan_Register!Y10&gt;Loan_Register!X10)),Settings!$B$18,0)</f>
        <v>0</v>
      </c>
      <c r="I10" s="30" t="n">
        <f aca="false">IF(Loan_Register!H10="Y",IF(Settings!$B$5-Loan_Register!Z10&gt;Settings!$B$8,Settings!$B$19,0),0)</f>
        <v>0</v>
      </c>
      <c r="J10" s="30" t="n">
        <f aca="false">IF(Loan_Register!L10&gt;Loan_Register!K10,Settings!$B$20,0)</f>
        <v>0</v>
      </c>
      <c r="K10" s="30" t="n">
        <f aca="false">IF(Loan_Register!N10&lt;1,Settings!$B$21,0)</f>
        <v>0</v>
      </c>
      <c r="L10" s="30" t="n">
        <f aca="false">IF(AND(Loan_Register!H10="Y",P10&gt;Settings!$B$9),Settings!$B$22,0)</f>
        <v>1</v>
      </c>
      <c r="M10" s="31" t="n">
        <f aca="false">SUM(E10:L10)</f>
        <v>1</v>
      </c>
      <c r="N10" s="25" t="str">
        <f aca="false">IF(M10&gt;=Settings!$B$25,"Critical",IF(M10&gt;=Settings!$B$26,"Watch",IF(M10&gt;=Settings!$B$27,"Monitor","Green")))</f>
        <v>Monitor</v>
      </c>
      <c r="O10" s="30" t="str">
        <f aca="false">IF(M10&gt;=Settings!$B$26,COUNTIF($M$5:$M$28,"&gt;"&amp;M10)+COUNTIF($M$5:M10,M10),"")</f>
        <v/>
      </c>
      <c r="P10" s="27" t="n">
        <f aca="false">Loan_Register!G10/Loan_Register!F10</f>
        <v>0.92</v>
      </c>
    </row>
    <row r="11" customFormat="false" ht="15" hidden="false" customHeight="false" outlineLevel="0" collapsed="false">
      <c r="A11" s="9" t="str">
        <f aca="false">Loan_Register!A11</f>
        <v>PL-1007</v>
      </c>
      <c r="B11" s="9" t="str">
        <f aca="false">Loan_Register!B11</f>
        <v>Harbor Point Logistics, LLC</v>
      </c>
      <c r="C11" s="28" t="n">
        <f aca="false">Loan_Register!G11</f>
        <v>5200000</v>
      </c>
      <c r="D11" s="27" t="n">
        <f aca="false">Loan_Register!Q11/Loan_Register!P11-1</f>
        <v>-0.0992366412213741</v>
      </c>
      <c r="E11" s="30" t="n">
        <f aca="false">IF(Covenant_Test!M11="Breach",Settings!$B$13,IF(Covenant_Test!M11="Near Breach",Settings!$B$14,0))</f>
        <v>3</v>
      </c>
      <c r="F11" s="30" t="n">
        <f aca="false">IF(D11&lt;=-Settings!$B$7,Settings!$B$15,0)</f>
        <v>0</v>
      </c>
      <c r="G11" s="30" t="n">
        <f aca="false">IF(Loan_Register!M11&gt;=30,Settings!$B$16,IF(Loan_Register!M11&gt;=15,Settings!$B$17,0))</f>
        <v>0</v>
      </c>
      <c r="H11" s="30" t="n">
        <f aca="false">IF(OR(AND(Loan_Register!W11="",Settings!$B$5&gt;Loan_Register!V11),AND(Loan_Register!W11&lt;&gt;"",Loan_Register!W11&gt;Loan_Register!V11),AND(Loan_Register!Y11="",Settings!$B$5&gt;Loan_Register!X11),AND(Loan_Register!Y11&lt;&gt;"",Loan_Register!Y11&gt;Loan_Register!X11)),Settings!$B$18,0)</f>
        <v>1</v>
      </c>
      <c r="I11" s="30" t="n">
        <f aca="false">IF(Loan_Register!H11="Y",IF(Settings!$B$5-Loan_Register!Z11&gt;Settings!$B$8,Settings!$B$19,0),0)</f>
        <v>0</v>
      </c>
      <c r="J11" s="30" t="n">
        <f aca="false">IF(Loan_Register!L11&gt;Loan_Register!K11,Settings!$B$20,0)</f>
        <v>2</v>
      </c>
      <c r="K11" s="30" t="n">
        <f aca="false">IF(Loan_Register!N11&lt;1,Settings!$B$21,0)</f>
        <v>0</v>
      </c>
      <c r="L11" s="30" t="n">
        <f aca="false">IF(AND(Loan_Register!H11="Y",P11&gt;Settings!$B$9),Settings!$B$22,0)</f>
        <v>0</v>
      </c>
      <c r="M11" s="31" t="n">
        <f aca="false">SUM(E11:L11)</f>
        <v>6</v>
      </c>
      <c r="N11" s="25" t="str">
        <f aca="false">IF(M11&gt;=Settings!$B$25,"Critical",IF(M11&gt;=Settings!$B$26,"Watch",IF(M11&gt;=Settings!$B$27,"Monitor","Green")))</f>
        <v>Critical</v>
      </c>
      <c r="O11" s="30" t="n">
        <f aca="false">IF(M11&gt;=Settings!$B$26,COUNTIF($M$5:$M$28,"&gt;"&amp;M11)+COUNTIF($M$5:M11,M11),"")</f>
        <v>3</v>
      </c>
      <c r="P11" s="27" t="n">
        <f aca="false">Loan_Register!G11/Loan_Register!F11</f>
        <v>0.852459016393443</v>
      </c>
    </row>
    <row r="12" customFormat="false" ht="15" hidden="false" customHeight="false" outlineLevel="0" collapsed="false">
      <c r="A12" s="9" t="str">
        <f aca="false">Loan_Register!A12</f>
        <v>PL-1008</v>
      </c>
      <c r="B12" s="9" t="str">
        <f aca="false">Loan_Register!B12</f>
        <v>Summit Pediatric Dental, PLLC</v>
      </c>
      <c r="C12" s="28" t="n">
        <f aca="false">Loan_Register!G12</f>
        <v>1600000</v>
      </c>
      <c r="D12" s="27" t="n">
        <f aca="false">Loan_Register!Q12/Loan_Register!P12-1</f>
        <v>0.0212765957446808</v>
      </c>
      <c r="E12" s="30" t="n">
        <f aca="false">IF(Covenant_Test!M12="Breach",Settings!$B$13,IF(Covenant_Test!M12="Near Breach",Settings!$B$14,0))</f>
        <v>0</v>
      </c>
      <c r="F12" s="30" t="n">
        <f aca="false">IF(D12&lt;=-Settings!$B$7,Settings!$B$15,0)</f>
        <v>0</v>
      </c>
      <c r="G12" s="30" t="n">
        <f aca="false">IF(Loan_Register!M12&gt;=30,Settings!$B$16,IF(Loan_Register!M12&gt;=15,Settings!$B$17,0))</f>
        <v>0</v>
      </c>
      <c r="H12" s="30" t="n">
        <f aca="false">IF(OR(AND(Loan_Register!W12="",Settings!$B$5&gt;Loan_Register!V12),AND(Loan_Register!W12&lt;&gt;"",Loan_Register!W12&gt;Loan_Register!V12),AND(Loan_Register!Y12="",Settings!$B$5&gt;Loan_Register!X12),AND(Loan_Register!Y12&lt;&gt;"",Loan_Register!Y12&gt;Loan_Register!X12)),Settings!$B$18,0)</f>
        <v>0</v>
      </c>
      <c r="I12" s="30" t="n">
        <f aca="false">IF(Loan_Register!H12="Y",IF(Settings!$B$5-Loan_Register!Z12&gt;Settings!$B$8,Settings!$B$19,0),0)</f>
        <v>0</v>
      </c>
      <c r="J12" s="30" t="n">
        <f aca="false">IF(Loan_Register!L12&gt;Loan_Register!K12,Settings!$B$20,0)</f>
        <v>0</v>
      </c>
      <c r="K12" s="30" t="n">
        <f aca="false">IF(Loan_Register!N12&lt;1,Settings!$B$21,0)</f>
        <v>0</v>
      </c>
      <c r="L12" s="30" t="n">
        <f aca="false">IF(AND(Loan_Register!H12="Y",P12&gt;Settings!$B$9),Settings!$B$22,0)</f>
        <v>0</v>
      </c>
      <c r="M12" s="31" t="n">
        <f aca="false">SUM(E12:L12)</f>
        <v>0</v>
      </c>
      <c r="N12" s="25" t="str">
        <f aca="false">IF(M12&gt;=Settings!$B$25,"Critical",IF(M12&gt;=Settings!$B$26,"Watch",IF(M12&gt;=Settings!$B$27,"Monitor","Green")))</f>
        <v>Green</v>
      </c>
      <c r="O12" s="30" t="str">
        <f aca="false">IF(M12&gt;=Settings!$B$26,COUNTIF($M$5:$M$28,"&gt;"&amp;M12)+COUNTIF($M$5:M12,M12),"")</f>
        <v/>
      </c>
      <c r="P12" s="27" t="n">
        <f aca="false">Loan_Register!G12/Loan_Register!F12</f>
        <v>0.761904761904762</v>
      </c>
    </row>
    <row r="13" customFormat="false" ht="15" hidden="false" customHeight="false" outlineLevel="0" collapsed="false">
      <c r="A13" s="9" t="str">
        <f aca="false">Loan_Register!A13</f>
        <v>PL-1009</v>
      </c>
      <c r="B13" s="9" t="str">
        <f aca="false">Loan_Register!B13</f>
        <v>Westchase Office Plaza, LLC</v>
      </c>
      <c r="C13" s="28" t="n">
        <f aca="false">Loan_Register!G13</f>
        <v>11200000</v>
      </c>
      <c r="D13" s="27" t="n">
        <f aca="false">Loan_Register!Q13/Loan_Register!P13-1</f>
        <v>-0.138461538461538</v>
      </c>
      <c r="E13" s="30" t="n">
        <f aca="false">IF(Covenant_Test!M13="Breach",Settings!$B$13,IF(Covenant_Test!M13="Near Breach",Settings!$B$14,0))</f>
        <v>3</v>
      </c>
      <c r="F13" s="30" t="n">
        <f aca="false">IF(D13&lt;=-Settings!$B$7,Settings!$B$15,0)</f>
        <v>0</v>
      </c>
      <c r="G13" s="30" t="n">
        <f aca="false">IF(Loan_Register!M13&gt;=30,Settings!$B$16,IF(Loan_Register!M13&gt;=15,Settings!$B$17,0))</f>
        <v>0</v>
      </c>
      <c r="H13" s="30" t="n">
        <f aca="false">IF(OR(AND(Loan_Register!W13="",Settings!$B$5&gt;Loan_Register!V13),AND(Loan_Register!W13&lt;&gt;"",Loan_Register!W13&gt;Loan_Register!V13),AND(Loan_Register!Y13="",Settings!$B$5&gt;Loan_Register!X13),AND(Loan_Register!Y13&lt;&gt;"",Loan_Register!Y13&gt;Loan_Register!X13)),Settings!$B$18,0)</f>
        <v>0</v>
      </c>
      <c r="I13" s="30" t="n">
        <f aca="false">IF(Loan_Register!H13="Y",IF(Settings!$B$5-Loan_Register!Z13&gt;Settings!$B$8,Settings!$B$19,0),0)</f>
        <v>0</v>
      </c>
      <c r="J13" s="30" t="n">
        <f aca="false">IF(Loan_Register!L13&gt;Loan_Register!K13,Settings!$B$20,0)</f>
        <v>2</v>
      </c>
      <c r="K13" s="30" t="n">
        <f aca="false">IF(Loan_Register!N13&lt;1,Settings!$B$21,0)</f>
        <v>2</v>
      </c>
      <c r="L13" s="30" t="n">
        <f aca="false">IF(AND(Loan_Register!H13="Y",P13&gt;Settings!$B$9),Settings!$B$22,0)</f>
        <v>0</v>
      </c>
      <c r="M13" s="31" t="n">
        <f aca="false">SUM(E13:L13)</f>
        <v>7</v>
      </c>
      <c r="N13" s="25" t="str">
        <f aca="false">IF(M13&gt;=Settings!$B$25,"Critical",IF(M13&gt;=Settings!$B$26,"Watch",IF(M13&gt;=Settings!$B$27,"Monitor","Green")))</f>
        <v>Critical</v>
      </c>
      <c r="O13" s="30" t="n">
        <f aca="false">IF(M13&gt;=Settings!$B$26,COUNTIF($M$5:$M$28,"&gt;"&amp;M13)+COUNTIF($M$5:M13,M13),"")</f>
        <v>2</v>
      </c>
      <c r="P13" s="27" t="n">
        <f aca="false">Loan_Register!G13/Loan_Register!F13</f>
        <v>0.973913043478261</v>
      </c>
    </row>
    <row r="14" customFormat="false" ht="15" hidden="false" customHeight="false" outlineLevel="0" collapsed="false">
      <c r="A14" s="9" t="str">
        <f aca="false">Loan_Register!A14</f>
        <v>PL-1010</v>
      </c>
      <c r="B14" s="9" t="str">
        <f aca="false">Loan_Register!B14</f>
        <v>Prairie Seed &amp; Supply Co.</v>
      </c>
      <c r="C14" s="28" t="n">
        <f aca="false">Loan_Register!G14</f>
        <v>2100000</v>
      </c>
      <c r="D14" s="27" t="n">
        <f aca="false">Loan_Register!Q14/Loan_Register!P14-1</f>
        <v>-0.0193548387096775</v>
      </c>
      <c r="E14" s="30" t="n">
        <f aca="false">IF(Covenant_Test!M14="Breach",Settings!$B$13,IF(Covenant_Test!M14="Near Breach",Settings!$B$14,0))</f>
        <v>0</v>
      </c>
      <c r="F14" s="30" t="n">
        <f aca="false">IF(D14&lt;=-Settings!$B$7,Settings!$B$15,0)</f>
        <v>0</v>
      </c>
      <c r="G14" s="30" t="n">
        <f aca="false">IF(Loan_Register!M14&gt;=30,Settings!$B$16,IF(Loan_Register!M14&gt;=15,Settings!$B$17,0))</f>
        <v>0</v>
      </c>
      <c r="H14" s="30" t="n">
        <f aca="false">IF(OR(AND(Loan_Register!W14="",Settings!$B$5&gt;Loan_Register!V14),AND(Loan_Register!W14&lt;&gt;"",Loan_Register!W14&gt;Loan_Register!V14),AND(Loan_Register!Y14="",Settings!$B$5&gt;Loan_Register!X14),AND(Loan_Register!Y14&lt;&gt;"",Loan_Register!Y14&gt;Loan_Register!X14)),Settings!$B$18,0)</f>
        <v>0</v>
      </c>
      <c r="I14" s="30" t="n">
        <f aca="false">IF(Loan_Register!H14="Y",IF(Settings!$B$5-Loan_Register!Z14&gt;Settings!$B$8,Settings!$B$19,0),0)</f>
        <v>0</v>
      </c>
      <c r="J14" s="30" t="n">
        <f aca="false">IF(Loan_Register!L14&gt;Loan_Register!K14,Settings!$B$20,0)</f>
        <v>0</v>
      </c>
      <c r="K14" s="30" t="n">
        <f aca="false">IF(Loan_Register!N14&lt;1,Settings!$B$21,0)</f>
        <v>0</v>
      </c>
      <c r="L14" s="30" t="n">
        <f aca="false">IF(AND(Loan_Register!H14="Y",P14&gt;Settings!$B$9),Settings!$B$22,0)</f>
        <v>0</v>
      </c>
      <c r="M14" s="31" t="n">
        <f aca="false">SUM(E14:L14)</f>
        <v>0</v>
      </c>
      <c r="N14" s="25" t="str">
        <f aca="false">IF(M14&gt;=Settings!$B$25,"Critical",IF(M14&gt;=Settings!$B$26,"Watch",IF(M14&gt;=Settings!$B$27,"Monitor","Green")))</f>
        <v>Green</v>
      </c>
      <c r="O14" s="30" t="str">
        <f aca="false">IF(M14&gt;=Settings!$B$26,COUNTIF($M$5:$M$28,"&gt;"&amp;M14)+COUNTIF($M$5:M14,M14),"")</f>
        <v/>
      </c>
      <c r="P14" s="27" t="n">
        <f aca="false">Loan_Register!G14/Loan_Register!F14</f>
        <v>0.7</v>
      </c>
    </row>
    <row r="15" customFormat="false" ht="15" hidden="false" customHeight="false" outlineLevel="0" collapsed="false">
      <c r="A15" s="9" t="str">
        <f aca="false">Loan_Register!A15</f>
        <v>PL-1011</v>
      </c>
      <c r="B15" s="9" t="str">
        <f aca="false">Loan_Register!B15</f>
        <v>Katy Retail Commons, LLC</v>
      </c>
      <c r="C15" s="28" t="n">
        <f aca="false">Loan_Register!G15</f>
        <v>7400000</v>
      </c>
      <c r="D15" s="27" t="n">
        <f aca="false">Loan_Register!Q15/Loan_Register!P15-1</f>
        <v>0.0130718954248366</v>
      </c>
      <c r="E15" s="30" t="n">
        <f aca="false">IF(Covenant_Test!M15="Breach",Settings!$B$13,IF(Covenant_Test!M15="Near Breach",Settings!$B$14,0))</f>
        <v>0</v>
      </c>
      <c r="F15" s="30" t="n">
        <f aca="false">IF(D15&lt;=-Settings!$B$7,Settings!$B$15,0)</f>
        <v>0</v>
      </c>
      <c r="G15" s="30" t="n">
        <f aca="false">IF(Loan_Register!M15&gt;=30,Settings!$B$16,IF(Loan_Register!M15&gt;=15,Settings!$B$17,0))</f>
        <v>0</v>
      </c>
      <c r="H15" s="30" t="n">
        <f aca="false">IF(OR(AND(Loan_Register!W15="",Settings!$B$5&gt;Loan_Register!V15),AND(Loan_Register!W15&lt;&gt;"",Loan_Register!W15&gt;Loan_Register!V15),AND(Loan_Register!Y15="",Settings!$B$5&gt;Loan_Register!X15),AND(Loan_Register!Y15&lt;&gt;"",Loan_Register!Y15&gt;Loan_Register!X15)),Settings!$B$18,0)</f>
        <v>0</v>
      </c>
      <c r="I15" s="30" t="n">
        <f aca="false">IF(Loan_Register!H15="Y",IF(Settings!$B$5-Loan_Register!Z15&gt;Settings!$B$8,Settings!$B$19,0),0)</f>
        <v>0</v>
      </c>
      <c r="J15" s="30" t="n">
        <f aca="false">IF(Loan_Register!L15&gt;Loan_Register!K15,Settings!$B$20,0)</f>
        <v>0</v>
      </c>
      <c r="K15" s="30" t="n">
        <f aca="false">IF(Loan_Register!N15&lt;1,Settings!$B$21,0)</f>
        <v>0</v>
      </c>
      <c r="L15" s="30" t="n">
        <f aca="false">IF(AND(Loan_Register!H15="Y",P15&gt;Settings!$B$9),Settings!$B$22,0)</f>
        <v>0</v>
      </c>
      <c r="M15" s="31" t="n">
        <f aca="false">SUM(E15:L15)</f>
        <v>0</v>
      </c>
      <c r="N15" s="25" t="str">
        <f aca="false">IF(M15&gt;=Settings!$B$25,"Critical",IF(M15&gt;=Settings!$B$26,"Watch",IF(M15&gt;=Settings!$B$27,"Monitor","Green")))</f>
        <v>Green</v>
      </c>
      <c r="O15" s="30" t="str">
        <f aca="false">IF(M15&gt;=Settings!$B$26,COUNTIF($M$5:$M$28,"&gt;"&amp;M15)+COUNTIF($M$5:M15,M15),"")</f>
        <v/>
      </c>
      <c r="P15" s="27" t="n">
        <f aca="false">Loan_Register!G15/Loan_Register!F15</f>
        <v>0.948717948717949</v>
      </c>
    </row>
    <row r="16" customFormat="false" ht="15" hidden="false" customHeight="false" outlineLevel="0" collapsed="false">
      <c r="A16" s="9" t="str">
        <f aca="false">Loan_Register!A16</f>
        <v>PL-1012</v>
      </c>
      <c r="B16" s="9" t="str">
        <f aca="false">Loan_Register!B16</f>
        <v>Trinity Machine Works, Inc.</v>
      </c>
      <c r="C16" s="28" t="n">
        <f aca="false">Loan_Register!G16</f>
        <v>3000000</v>
      </c>
      <c r="D16" s="27" t="n">
        <f aca="false">Loan_Register!Q16/Loan_Register!P16-1</f>
        <v>0.147058823529412</v>
      </c>
      <c r="E16" s="30" t="n">
        <f aca="false">IF(Covenant_Test!M16="Breach",Settings!$B$13,IF(Covenant_Test!M16="Near Breach",Settings!$B$14,0))</f>
        <v>0</v>
      </c>
      <c r="F16" s="30" t="n">
        <f aca="false">IF(D16&lt;=-Settings!$B$7,Settings!$B$15,0)</f>
        <v>0</v>
      </c>
      <c r="G16" s="30" t="n">
        <f aca="false">IF(Loan_Register!M16&gt;=30,Settings!$B$16,IF(Loan_Register!M16&gt;=15,Settings!$B$17,0))</f>
        <v>0</v>
      </c>
      <c r="H16" s="30" t="n">
        <f aca="false">IF(OR(AND(Loan_Register!W16="",Settings!$B$5&gt;Loan_Register!V16),AND(Loan_Register!W16&lt;&gt;"",Loan_Register!W16&gt;Loan_Register!V16),AND(Loan_Register!Y16="",Settings!$B$5&gt;Loan_Register!X16),AND(Loan_Register!Y16&lt;&gt;"",Loan_Register!Y16&gt;Loan_Register!X16)),Settings!$B$18,0)</f>
        <v>0</v>
      </c>
      <c r="I16" s="30" t="n">
        <f aca="false">IF(Loan_Register!H16="Y",IF(Settings!$B$5-Loan_Register!Z16&gt;Settings!$B$8,Settings!$B$19,0),0)</f>
        <v>0</v>
      </c>
      <c r="J16" s="30" t="n">
        <f aca="false">IF(Loan_Register!L16&gt;Loan_Register!K16,Settings!$B$20,0)</f>
        <v>0</v>
      </c>
      <c r="K16" s="30" t="n">
        <f aca="false">IF(Loan_Register!N16&lt;1,Settings!$B$21,0)</f>
        <v>0</v>
      </c>
      <c r="L16" s="30" t="n">
        <f aca="false">IF(AND(Loan_Register!H16="Y",P16&gt;Settings!$B$9),Settings!$B$22,0)</f>
        <v>0</v>
      </c>
      <c r="M16" s="31" t="n">
        <f aca="false">SUM(E16:L16)</f>
        <v>0</v>
      </c>
      <c r="N16" s="25" t="str">
        <f aca="false">IF(M16&gt;=Settings!$B$25,"Critical",IF(M16&gt;=Settings!$B$26,"Watch",IF(M16&gt;=Settings!$B$27,"Monitor","Green")))</f>
        <v>Green</v>
      </c>
      <c r="O16" s="30" t="str">
        <f aca="false">IF(M16&gt;=Settings!$B$26,COUNTIF($M$5:$M$28,"&gt;"&amp;M16)+COUNTIF($M$5:M16,M16),"")</f>
        <v/>
      </c>
      <c r="P16" s="27" t="n">
        <f aca="false">Loan_Register!G16/Loan_Register!F16</f>
        <v>0.833333333333333</v>
      </c>
    </row>
    <row r="17" customFormat="false" ht="15" hidden="false" customHeight="false" outlineLevel="0" collapsed="false">
      <c r="A17" s="9" t="str">
        <f aca="false">Loan_Register!A17</f>
        <v>PL-1013</v>
      </c>
      <c r="B17" s="9" t="str">
        <f aca="false">Loan_Register!B17</f>
        <v>Redbird Restaurant Group, LLC</v>
      </c>
      <c r="C17" s="28" t="n">
        <f aca="false">Loan_Register!G17</f>
        <v>2200000</v>
      </c>
      <c r="D17" s="27" t="n">
        <f aca="false">Loan_Register!Q17/Loan_Register!P17-1</f>
        <v>-0.0300751879699248</v>
      </c>
      <c r="E17" s="30" t="n">
        <f aca="false">IF(Covenant_Test!M17="Breach",Settings!$B$13,IF(Covenant_Test!M17="Near Breach",Settings!$B$14,0))</f>
        <v>1</v>
      </c>
      <c r="F17" s="30" t="n">
        <f aca="false">IF(D17&lt;=-Settings!$B$7,Settings!$B$15,0)</f>
        <v>0</v>
      </c>
      <c r="G17" s="30" t="n">
        <f aca="false">IF(Loan_Register!M17&gt;=30,Settings!$B$16,IF(Loan_Register!M17&gt;=15,Settings!$B$17,0))</f>
        <v>1</v>
      </c>
      <c r="H17" s="30" t="n">
        <f aca="false">IF(OR(AND(Loan_Register!W17="",Settings!$B$5&gt;Loan_Register!V17),AND(Loan_Register!W17&lt;&gt;"",Loan_Register!W17&gt;Loan_Register!V17),AND(Loan_Register!Y17="",Settings!$B$5&gt;Loan_Register!X17),AND(Loan_Register!Y17&lt;&gt;"",Loan_Register!Y17&gt;Loan_Register!X17)),Settings!$B$18,0)</f>
        <v>0</v>
      </c>
      <c r="I17" s="30" t="n">
        <f aca="false">IF(Loan_Register!H17="Y",IF(Settings!$B$5-Loan_Register!Z17&gt;Settings!$B$8,Settings!$B$19,0),0)</f>
        <v>0</v>
      </c>
      <c r="J17" s="30" t="n">
        <f aca="false">IF(Loan_Register!L17&gt;Loan_Register!K17,Settings!$B$20,0)</f>
        <v>0</v>
      </c>
      <c r="K17" s="30" t="n">
        <f aca="false">IF(Loan_Register!N17&lt;1,Settings!$B$21,0)</f>
        <v>0</v>
      </c>
      <c r="L17" s="30" t="n">
        <f aca="false">IF(AND(Loan_Register!H17="Y",P17&gt;Settings!$B$9),Settings!$B$22,0)</f>
        <v>0</v>
      </c>
      <c r="M17" s="31" t="n">
        <f aca="false">SUM(E17:L17)</f>
        <v>2</v>
      </c>
      <c r="N17" s="25" t="str">
        <f aca="false">IF(M17&gt;=Settings!$B$25,"Critical",IF(M17&gt;=Settings!$B$26,"Watch",IF(M17&gt;=Settings!$B$27,"Monitor","Green")))</f>
        <v>Monitor</v>
      </c>
      <c r="O17" s="30" t="str">
        <f aca="false">IF(M17&gt;=Settings!$B$26,COUNTIF($M$5:$M$28,"&gt;"&amp;M17)+COUNTIF($M$5:M17,M17),"")</f>
        <v/>
      </c>
      <c r="P17" s="27" t="n">
        <f aca="false">Loan_Register!G17/Loan_Register!F17</f>
        <v>0.916666666666667</v>
      </c>
    </row>
    <row r="18" customFormat="false" ht="15" hidden="false" customHeight="false" outlineLevel="0" collapsed="false">
      <c r="A18" s="9" t="str">
        <f aca="false">Loan_Register!A18</f>
        <v>PL-1014</v>
      </c>
      <c r="B18" s="9" t="str">
        <f aca="false">Loan_Register!B18</f>
        <v>Gulf Coast Oilfield Rentals, LLC</v>
      </c>
      <c r="C18" s="28" t="n">
        <f aca="false">Loan_Register!G18</f>
        <v>4600000</v>
      </c>
      <c r="D18" s="27" t="n">
        <f aca="false">Loan_Register!Q18/Loan_Register!P18-1</f>
        <v>-0.0449438202247191</v>
      </c>
      <c r="E18" s="30" t="n">
        <f aca="false">IF(Covenant_Test!M18="Breach",Settings!$B$13,IF(Covenant_Test!M18="Near Breach",Settings!$B$14,0))</f>
        <v>1</v>
      </c>
      <c r="F18" s="30" t="n">
        <f aca="false">IF(D18&lt;=-Settings!$B$7,Settings!$B$15,0)</f>
        <v>0</v>
      </c>
      <c r="G18" s="30" t="n">
        <f aca="false">IF(Loan_Register!M18&gt;=30,Settings!$B$16,IF(Loan_Register!M18&gt;=15,Settings!$B$17,0))</f>
        <v>0</v>
      </c>
      <c r="H18" s="30" t="n">
        <f aca="false">IF(OR(AND(Loan_Register!W18="",Settings!$B$5&gt;Loan_Register!V18),AND(Loan_Register!W18&lt;&gt;"",Loan_Register!W18&gt;Loan_Register!V18),AND(Loan_Register!Y18="",Settings!$B$5&gt;Loan_Register!X18),AND(Loan_Register!Y18&lt;&gt;"",Loan_Register!Y18&gt;Loan_Register!X18)),Settings!$B$18,0)</f>
        <v>0</v>
      </c>
      <c r="I18" s="30" t="n">
        <f aca="false">IF(Loan_Register!H18="Y",IF(Settings!$B$5-Loan_Register!Z18&gt;Settings!$B$8,Settings!$B$19,0),0)</f>
        <v>0</v>
      </c>
      <c r="J18" s="30" t="n">
        <f aca="false">IF(Loan_Register!L18&gt;Loan_Register!K18,Settings!$B$20,0)</f>
        <v>0</v>
      </c>
      <c r="K18" s="30" t="n">
        <f aca="false">IF(Loan_Register!N18&lt;1,Settings!$B$21,0)</f>
        <v>0</v>
      </c>
      <c r="L18" s="30" t="n">
        <f aca="false">IF(AND(Loan_Register!H18="Y",P18&gt;Settings!$B$9),Settings!$B$22,0)</f>
        <v>0</v>
      </c>
      <c r="M18" s="31" t="n">
        <f aca="false">SUM(E18:L18)</f>
        <v>1</v>
      </c>
      <c r="N18" s="25" t="str">
        <f aca="false">IF(M18&gt;=Settings!$B$25,"Critical",IF(M18&gt;=Settings!$B$26,"Watch",IF(M18&gt;=Settings!$B$27,"Monitor","Green")))</f>
        <v>Monitor</v>
      </c>
      <c r="O18" s="30" t="str">
        <f aca="false">IF(M18&gt;=Settings!$B$26,COUNTIF($M$5:$M$28,"&gt;"&amp;M18)+COUNTIF($M$5:M18,M18),"")</f>
        <v/>
      </c>
      <c r="P18" s="27" t="n">
        <f aca="false">Loan_Register!G18/Loan_Register!F18</f>
        <v>0.836363636363636</v>
      </c>
    </row>
    <row r="19" customFormat="false" ht="15" hidden="false" customHeight="false" outlineLevel="0" collapsed="false">
      <c r="A19" s="9" t="str">
        <f aca="false">Loan_Register!A19</f>
        <v>PL-1015</v>
      </c>
      <c r="B19" s="9" t="str">
        <f aca="false">Loan_Register!B19</f>
        <v>Meridian Physical Therapy Group, LLC</v>
      </c>
      <c r="C19" s="28" t="n">
        <f aca="false">Loan_Register!G19</f>
        <v>1200000</v>
      </c>
      <c r="D19" s="27" t="n">
        <f aca="false">Loan_Register!Q19/Loan_Register!P19-1</f>
        <v>0.0249999999999999</v>
      </c>
      <c r="E19" s="30" t="n">
        <f aca="false">IF(Covenant_Test!M19="Breach",Settings!$B$13,IF(Covenant_Test!M19="Near Breach",Settings!$B$14,0))</f>
        <v>0</v>
      </c>
      <c r="F19" s="30" t="n">
        <f aca="false">IF(D19&lt;=-Settings!$B$7,Settings!$B$15,0)</f>
        <v>0</v>
      </c>
      <c r="G19" s="30" t="n">
        <f aca="false">IF(Loan_Register!M19&gt;=30,Settings!$B$16,IF(Loan_Register!M19&gt;=15,Settings!$B$17,0))</f>
        <v>0</v>
      </c>
      <c r="H19" s="30" t="n">
        <f aca="false">IF(OR(AND(Loan_Register!W19="",Settings!$B$5&gt;Loan_Register!V19),AND(Loan_Register!W19&lt;&gt;"",Loan_Register!W19&gt;Loan_Register!V19),AND(Loan_Register!Y19="",Settings!$B$5&gt;Loan_Register!X19),AND(Loan_Register!Y19&lt;&gt;"",Loan_Register!Y19&gt;Loan_Register!X19)),Settings!$B$18,0)</f>
        <v>0</v>
      </c>
      <c r="I19" s="30" t="n">
        <f aca="false">IF(Loan_Register!H19="Y",IF(Settings!$B$5-Loan_Register!Z19&gt;Settings!$B$8,Settings!$B$19,0),0)</f>
        <v>0</v>
      </c>
      <c r="J19" s="30" t="n">
        <f aca="false">IF(Loan_Register!L19&gt;Loan_Register!K19,Settings!$B$20,0)</f>
        <v>0</v>
      </c>
      <c r="K19" s="30" t="n">
        <f aca="false">IF(Loan_Register!N19&lt;1,Settings!$B$21,0)</f>
        <v>0</v>
      </c>
      <c r="L19" s="30" t="n">
        <f aca="false">IF(AND(Loan_Register!H19="Y",P19&gt;Settings!$B$9),Settings!$B$22,0)</f>
        <v>0</v>
      </c>
      <c r="M19" s="31" t="n">
        <f aca="false">SUM(E19:L19)</f>
        <v>0</v>
      </c>
      <c r="N19" s="25" t="str">
        <f aca="false">IF(M19&gt;=Settings!$B$25,"Critical",IF(M19&gt;=Settings!$B$26,"Watch",IF(M19&gt;=Settings!$B$27,"Monitor","Green")))</f>
        <v>Green</v>
      </c>
      <c r="O19" s="30" t="str">
        <f aca="false">IF(M19&gt;=Settings!$B$26,COUNTIF($M$5:$M$28,"&gt;"&amp;M19)+COUNTIF($M$5:M19,M19),"")</f>
        <v/>
      </c>
      <c r="P19" s="27" t="n">
        <f aca="false">Loan_Register!G19/Loan_Register!F19</f>
        <v>0.666666666666667</v>
      </c>
    </row>
    <row r="20" customFormat="false" ht="15" hidden="false" customHeight="false" outlineLevel="0" collapsed="false">
      <c r="A20" s="9" t="str">
        <f aca="false">Loan_Register!A20</f>
        <v>PL-1016</v>
      </c>
      <c r="B20" s="9" t="str">
        <f aca="false">Loan_Register!B20</f>
        <v>Pecan Street Self Storage, LLC</v>
      </c>
      <c r="C20" s="28" t="n">
        <f aca="false">Loan_Register!G20</f>
        <v>6200000</v>
      </c>
      <c r="D20" s="27" t="n">
        <f aca="false">Loan_Register!Q20/Loan_Register!P20-1</f>
        <v>0.0118343195266273</v>
      </c>
      <c r="E20" s="30" t="n">
        <f aca="false">IF(Covenant_Test!M20="Breach",Settings!$B$13,IF(Covenant_Test!M20="Near Breach",Settings!$B$14,0))</f>
        <v>0</v>
      </c>
      <c r="F20" s="30" t="n">
        <f aca="false">IF(D20&lt;=-Settings!$B$7,Settings!$B$15,0)</f>
        <v>0</v>
      </c>
      <c r="G20" s="30" t="n">
        <f aca="false">IF(Loan_Register!M20&gt;=30,Settings!$B$16,IF(Loan_Register!M20&gt;=15,Settings!$B$17,0))</f>
        <v>0</v>
      </c>
      <c r="H20" s="30" t="n">
        <f aca="false">IF(OR(AND(Loan_Register!W20="",Settings!$B$5&gt;Loan_Register!V20),AND(Loan_Register!W20&lt;&gt;"",Loan_Register!W20&gt;Loan_Register!V20),AND(Loan_Register!Y20="",Settings!$B$5&gt;Loan_Register!X20),AND(Loan_Register!Y20&lt;&gt;"",Loan_Register!Y20&gt;Loan_Register!X20)),Settings!$B$18,0)</f>
        <v>0</v>
      </c>
      <c r="I20" s="30" t="n">
        <f aca="false">IF(Loan_Register!H20="Y",IF(Settings!$B$5-Loan_Register!Z20&gt;Settings!$B$8,Settings!$B$19,0),0)</f>
        <v>0</v>
      </c>
      <c r="J20" s="30" t="n">
        <f aca="false">IF(Loan_Register!L20&gt;Loan_Register!K20,Settings!$B$20,0)</f>
        <v>0</v>
      </c>
      <c r="K20" s="30" t="n">
        <f aca="false">IF(Loan_Register!N20&lt;1,Settings!$B$21,0)</f>
        <v>0</v>
      </c>
      <c r="L20" s="30" t="n">
        <f aca="false">IF(AND(Loan_Register!H20="Y",P20&gt;Settings!$B$9),Settings!$B$22,0)</f>
        <v>0</v>
      </c>
      <c r="M20" s="31" t="n">
        <f aca="false">SUM(E20:L20)</f>
        <v>0</v>
      </c>
      <c r="N20" s="25" t="str">
        <f aca="false">IF(M20&gt;=Settings!$B$25,"Critical",IF(M20&gt;=Settings!$B$26,"Watch",IF(M20&gt;=Settings!$B$27,"Monitor","Green")))</f>
        <v>Green</v>
      </c>
      <c r="O20" s="30" t="str">
        <f aca="false">IF(M20&gt;=Settings!$B$26,COUNTIF($M$5:$M$28,"&gt;"&amp;M20)+COUNTIF($M$5:M20,M20),"")</f>
        <v/>
      </c>
      <c r="P20" s="27" t="n">
        <f aca="false">Loan_Register!G20/Loan_Register!F20</f>
        <v>0.96875</v>
      </c>
    </row>
    <row r="21" customFormat="false" ht="15" hidden="false" customHeight="false" outlineLevel="0" collapsed="false">
      <c r="A21" s="9" t="str">
        <f aca="false">Loan_Register!A21</f>
        <v>PL-1017</v>
      </c>
      <c r="B21" s="9" t="str">
        <f aca="false">Loan_Register!B21</f>
        <v>Allied Packaging Distributors, Inc.</v>
      </c>
      <c r="C21" s="28" t="n">
        <f aca="false">Loan_Register!G21</f>
        <v>3600000</v>
      </c>
      <c r="D21" s="27" t="n">
        <f aca="false">Loan_Register!Q21/Loan_Register!P21-1</f>
        <v>-0.0198675496688742</v>
      </c>
      <c r="E21" s="30" t="n">
        <f aca="false">IF(Covenant_Test!M21="Breach",Settings!$B$13,IF(Covenant_Test!M21="Near Breach",Settings!$B$14,0))</f>
        <v>0</v>
      </c>
      <c r="F21" s="30" t="n">
        <f aca="false">IF(D21&lt;=-Settings!$B$7,Settings!$B$15,0)</f>
        <v>0</v>
      </c>
      <c r="G21" s="30" t="n">
        <f aca="false">IF(Loan_Register!M21&gt;=30,Settings!$B$16,IF(Loan_Register!M21&gt;=15,Settings!$B$17,0))</f>
        <v>0</v>
      </c>
      <c r="H21" s="30" t="n">
        <f aca="false">IF(OR(AND(Loan_Register!W21="",Settings!$B$5&gt;Loan_Register!V21),AND(Loan_Register!W21&lt;&gt;"",Loan_Register!W21&gt;Loan_Register!V21),AND(Loan_Register!Y21="",Settings!$B$5&gt;Loan_Register!X21),AND(Loan_Register!Y21&lt;&gt;"",Loan_Register!Y21&gt;Loan_Register!X21)),Settings!$B$18,0)</f>
        <v>0</v>
      </c>
      <c r="I21" s="30" t="n">
        <f aca="false">IF(Loan_Register!H21="Y",IF(Settings!$B$5-Loan_Register!Z21&gt;Settings!$B$8,Settings!$B$19,0),0)</f>
        <v>0</v>
      </c>
      <c r="J21" s="30" t="n">
        <f aca="false">IF(Loan_Register!L21&gt;Loan_Register!K21,Settings!$B$20,0)</f>
        <v>0</v>
      </c>
      <c r="K21" s="30" t="n">
        <f aca="false">IF(Loan_Register!N21&lt;1,Settings!$B$21,0)</f>
        <v>0</v>
      </c>
      <c r="L21" s="30" t="n">
        <f aca="false">IF(AND(Loan_Register!H21="Y",P21&gt;Settings!$B$9),Settings!$B$22,0)</f>
        <v>0</v>
      </c>
      <c r="M21" s="31" t="n">
        <f aca="false">SUM(E21:L21)</f>
        <v>0</v>
      </c>
      <c r="N21" s="25" t="str">
        <f aca="false">IF(M21&gt;=Settings!$B$25,"Critical",IF(M21&gt;=Settings!$B$26,"Watch",IF(M21&gt;=Settings!$B$27,"Monitor","Green")))</f>
        <v>Green</v>
      </c>
      <c r="O21" s="30" t="str">
        <f aca="false">IF(M21&gt;=Settings!$B$26,COUNTIF($M$5:$M$28,"&gt;"&amp;M21)+COUNTIF($M$5:M21,M21),"")</f>
        <v/>
      </c>
      <c r="P21" s="27" t="n">
        <f aca="false">Loan_Register!G21/Loan_Register!F21</f>
        <v>0.75</v>
      </c>
    </row>
    <row r="22" customFormat="false" ht="15" hidden="false" customHeight="false" outlineLevel="0" collapsed="false">
      <c r="A22" s="9" t="str">
        <f aca="false">Loan_Register!A22</f>
        <v>PL-1018</v>
      </c>
      <c r="B22" s="9" t="str">
        <f aca="false">Loan_Register!B22</f>
        <v>Northgate Senior Living, LLC</v>
      </c>
      <c r="C22" s="28" t="n">
        <f aca="false">Loan_Register!G22</f>
        <v>8800000</v>
      </c>
      <c r="D22" s="27" t="n">
        <f aca="false">Loan_Register!Q22/Loan_Register!P22-1</f>
        <v>0.0737704918032787</v>
      </c>
      <c r="E22" s="30" t="n">
        <f aca="false">IF(Covenant_Test!M22="Breach",Settings!$B$13,IF(Covenant_Test!M22="Near Breach",Settings!$B$14,0))</f>
        <v>1</v>
      </c>
      <c r="F22" s="30" t="n">
        <f aca="false">IF(D22&lt;=-Settings!$B$7,Settings!$B$15,0)</f>
        <v>0</v>
      </c>
      <c r="G22" s="30" t="n">
        <f aca="false">IF(Loan_Register!M22&gt;=30,Settings!$B$16,IF(Loan_Register!M22&gt;=15,Settings!$B$17,0))</f>
        <v>0</v>
      </c>
      <c r="H22" s="30" t="n">
        <f aca="false">IF(OR(AND(Loan_Register!W22="",Settings!$B$5&gt;Loan_Register!V22),AND(Loan_Register!W22&lt;&gt;"",Loan_Register!W22&gt;Loan_Register!V22),AND(Loan_Register!Y22="",Settings!$B$5&gt;Loan_Register!X22),AND(Loan_Register!Y22&lt;&gt;"",Loan_Register!Y22&gt;Loan_Register!X22)),Settings!$B$18,0)</f>
        <v>0</v>
      </c>
      <c r="I22" s="30" t="n">
        <f aca="false">IF(Loan_Register!H22="Y",IF(Settings!$B$5-Loan_Register!Z22&gt;Settings!$B$8,Settings!$B$19,0),0)</f>
        <v>0</v>
      </c>
      <c r="J22" s="30" t="n">
        <f aca="false">IF(Loan_Register!L22&gt;Loan_Register!K22,Settings!$B$20,0)</f>
        <v>0</v>
      </c>
      <c r="K22" s="30" t="n">
        <f aca="false">IF(Loan_Register!N22&lt;1,Settings!$B$21,0)</f>
        <v>0</v>
      </c>
      <c r="L22" s="30" t="n">
        <f aca="false">IF(AND(Loan_Register!H22="Y",P22&gt;Settings!$B$9),Settings!$B$22,0)</f>
        <v>0</v>
      </c>
      <c r="M22" s="31" t="n">
        <f aca="false">SUM(E22:L22)</f>
        <v>1</v>
      </c>
      <c r="N22" s="25" t="str">
        <f aca="false">IF(M22&gt;=Settings!$B$25,"Critical",IF(M22&gt;=Settings!$B$26,"Watch",IF(M22&gt;=Settings!$B$27,"Monitor","Green")))</f>
        <v>Monitor</v>
      </c>
      <c r="O22" s="30" t="str">
        <f aca="false">IF(M22&gt;=Settings!$B$26,COUNTIF($M$5:$M$28,"&gt;"&amp;M22)+COUNTIF($M$5:M22,M22),"")</f>
        <v/>
      </c>
      <c r="P22" s="27" t="n">
        <f aca="false">Loan_Register!G22/Loan_Register!F22</f>
        <v>0.977777777777778</v>
      </c>
    </row>
    <row r="23" customFormat="false" ht="15" hidden="false" customHeight="false" outlineLevel="0" collapsed="false">
      <c r="A23" s="9" t="str">
        <f aca="false">Loan_Register!A23</f>
        <v>PL-1019</v>
      </c>
      <c r="B23" s="9" t="str">
        <f aca="false">Loan_Register!B23</f>
        <v>Clearwater HVAC Services, Inc.</v>
      </c>
      <c r="C23" s="28" t="n">
        <f aca="false">Loan_Register!G23</f>
        <v>1400000</v>
      </c>
      <c r="D23" s="27" t="n">
        <f aca="false">Loan_Register!Q23/Loan_Register!P23-1</f>
        <v>0.0125</v>
      </c>
      <c r="E23" s="30" t="n">
        <f aca="false">IF(Covenant_Test!M23="Breach",Settings!$B$13,IF(Covenant_Test!M23="Near Breach",Settings!$B$14,0))</f>
        <v>0</v>
      </c>
      <c r="F23" s="30" t="n">
        <f aca="false">IF(D23&lt;=-Settings!$B$7,Settings!$B$15,0)</f>
        <v>0</v>
      </c>
      <c r="G23" s="30" t="n">
        <f aca="false">IF(Loan_Register!M23&gt;=30,Settings!$B$16,IF(Loan_Register!M23&gt;=15,Settings!$B$17,0))</f>
        <v>0</v>
      </c>
      <c r="H23" s="30" t="n">
        <f aca="false">IF(OR(AND(Loan_Register!W23="",Settings!$B$5&gt;Loan_Register!V23),AND(Loan_Register!W23&lt;&gt;"",Loan_Register!W23&gt;Loan_Register!V23),AND(Loan_Register!Y23="",Settings!$B$5&gt;Loan_Register!X23),AND(Loan_Register!Y23&lt;&gt;"",Loan_Register!Y23&gt;Loan_Register!X23)),Settings!$B$18,0)</f>
        <v>0</v>
      </c>
      <c r="I23" s="30" t="n">
        <f aca="false">IF(Loan_Register!H23="Y",IF(Settings!$B$5-Loan_Register!Z23&gt;Settings!$B$8,Settings!$B$19,0),0)</f>
        <v>0</v>
      </c>
      <c r="J23" s="30" t="n">
        <f aca="false">IF(Loan_Register!L23&gt;Loan_Register!K23,Settings!$B$20,0)</f>
        <v>0</v>
      </c>
      <c r="K23" s="30" t="n">
        <f aca="false">IF(Loan_Register!N23&lt;1,Settings!$B$21,0)</f>
        <v>0</v>
      </c>
      <c r="L23" s="30" t="n">
        <f aca="false">IF(AND(Loan_Register!H23="Y",P23&gt;Settings!$B$9),Settings!$B$22,0)</f>
        <v>0</v>
      </c>
      <c r="M23" s="31" t="n">
        <f aca="false">SUM(E23:L23)</f>
        <v>0</v>
      </c>
      <c r="N23" s="25" t="str">
        <f aca="false">IF(M23&gt;=Settings!$B$25,"Critical",IF(M23&gt;=Settings!$B$26,"Watch",IF(M23&gt;=Settings!$B$27,"Monitor","Green")))</f>
        <v>Green</v>
      </c>
      <c r="O23" s="30" t="str">
        <f aca="false">IF(M23&gt;=Settings!$B$26,COUNTIF($M$5:$M$28,"&gt;"&amp;M23)+COUNTIF($M$5:M23,M23),"")</f>
        <v/>
      </c>
      <c r="P23" s="27" t="n">
        <f aca="false">Loan_Register!G23/Loan_Register!F23</f>
        <v>0.736842105263158</v>
      </c>
    </row>
    <row r="24" customFormat="false" ht="15" hidden="false" customHeight="false" outlineLevel="0" collapsed="false">
      <c r="A24" s="9" t="str">
        <f aca="false">Loan_Register!A24</f>
        <v>PL-1020</v>
      </c>
      <c r="B24" s="9" t="str">
        <f aca="false">Loan_Register!B24</f>
        <v>Sabine Marine Services, LLC</v>
      </c>
      <c r="C24" s="28" t="n">
        <f aca="false">Loan_Register!G24</f>
        <v>3500000</v>
      </c>
      <c r="D24" s="27" t="n">
        <f aca="false">Loan_Register!Q24/Loan_Register!P24-1</f>
        <v>-0.0140845070422535</v>
      </c>
      <c r="E24" s="30" t="n">
        <f aca="false">IF(Covenant_Test!M24="Breach",Settings!$B$13,IF(Covenant_Test!M24="Near Breach",Settings!$B$14,0))</f>
        <v>0</v>
      </c>
      <c r="F24" s="30" t="n">
        <f aca="false">IF(D24&lt;=-Settings!$B$7,Settings!$B$15,0)</f>
        <v>0</v>
      </c>
      <c r="G24" s="30" t="n">
        <f aca="false">IF(Loan_Register!M24&gt;=30,Settings!$B$16,IF(Loan_Register!M24&gt;=15,Settings!$B$17,0))</f>
        <v>0</v>
      </c>
      <c r="H24" s="30" t="n">
        <f aca="false">IF(OR(AND(Loan_Register!W24="",Settings!$B$5&gt;Loan_Register!V24),AND(Loan_Register!W24&lt;&gt;"",Loan_Register!W24&gt;Loan_Register!V24),AND(Loan_Register!Y24="",Settings!$B$5&gt;Loan_Register!X24),AND(Loan_Register!Y24&lt;&gt;"",Loan_Register!Y24&gt;Loan_Register!X24)),Settings!$B$18,0)</f>
        <v>0</v>
      </c>
      <c r="I24" s="30" t="n">
        <f aca="false">IF(Loan_Register!H24="Y",IF(Settings!$B$5-Loan_Register!Z24&gt;Settings!$B$8,Settings!$B$19,0),0)</f>
        <v>0</v>
      </c>
      <c r="J24" s="30" t="n">
        <f aca="false">IF(Loan_Register!L24&gt;Loan_Register!K24,Settings!$B$20,0)</f>
        <v>0</v>
      </c>
      <c r="K24" s="30" t="n">
        <f aca="false">IF(Loan_Register!N24&lt;1,Settings!$B$21,0)</f>
        <v>0</v>
      </c>
      <c r="L24" s="30" t="n">
        <f aca="false">IF(AND(Loan_Register!H24="Y",P24&gt;Settings!$B$9),Settings!$B$22,0)</f>
        <v>0</v>
      </c>
      <c r="M24" s="31" t="n">
        <f aca="false">SUM(E24:L24)</f>
        <v>0</v>
      </c>
      <c r="N24" s="25" t="str">
        <f aca="false">IF(M24&gt;=Settings!$B$25,"Critical",IF(M24&gt;=Settings!$B$26,"Watch",IF(M24&gt;=Settings!$B$27,"Monitor","Green")))</f>
        <v>Green</v>
      </c>
      <c r="O24" s="30" t="str">
        <f aca="false">IF(M24&gt;=Settings!$B$26,COUNTIF($M$5:$M$28,"&gt;"&amp;M24)+COUNTIF($M$5:M24,M24),"")</f>
        <v/>
      </c>
      <c r="P24" s="27" t="n">
        <f aca="false">Loan_Register!G24/Loan_Register!F24</f>
        <v>0.897435897435898</v>
      </c>
    </row>
    <row r="25" customFormat="false" ht="15" hidden="false" customHeight="false" outlineLevel="0" collapsed="false">
      <c r="A25" s="9" t="str">
        <f aca="false">Loan_Register!A25</f>
        <v>PL-1021</v>
      </c>
      <c r="B25" s="9" t="str">
        <f aca="false">Loan_Register!B25</f>
        <v>Heights Craft Brewing Co.</v>
      </c>
      <c r="C25" s="28" t="n">
        <f aca="false">Loan_Register!G25</f>
        <v>2050000</v>
      </c>
      <c r="D25" s="27" t="n">
        <f aca="false">Loan_Register!Q25/Loan_Register!P25-1</f>
        <v>-0.0961538461538463</v>
      </c>
      <c r="E25" s="30" t="n">
        <f aca="false">IF(Covenant_Test!M25="Breach",Settings!$B$13,IF(Covenant_Test!M25="Near Breach",Settings!$B$14,0))</f>
        <v>3</v>
      </c>
      <c r="F25" s="30" t="n">
        <f aca="false">IF(D25&lt;=-Settings!$B$7,Settings!$B$15,0)</f>
        <v>0</v>
      </c>
      <c r="G25" s="30" t="n">
        <f aca="false">IF(Loan_Register!M25&gt;=30,Settings!$B$16,IF(Loan_Register!M25&gt;=15,Settings!$B$17,0))</f>
        <v>3</v>
      </c>
      <c r="H25" s="30" t="n">
        <f aca="false">IF(OR(AND(Loan_Register!W25="",Settings!$B$5&gt;Loan_Register!V25),AND(Loan_Register!W25&lt;&gt;"",Loan_Register!W25&gt;Loan_Register!V25),AND(Loan_Register!Y25="",Settings!$B$5&gt;Loan_Register!X25),AND(Loan_Register!Y25&lt;&gt;"",Loan_Register!Y25&gt;Loan_Register!X25)),Settings!$B$18,0)</f>
        <v>1</v>
      </c>
      <c r="I25" s="30" t="n">
        <f aca="false">IF(Loan_Register!H25="Y",IF(Settings!$B$5-Loan_Register!Z25&gt;Settings!$B$8,Settings!$B$19,0),0)</f>
        <v>1</v>
      </c>
      <c r="J25" s="30" t="n">
        <f aca="false">IF(Loan_Register!L25&gt;Loan_Register!K25,Settings!$B$20,0)</f>
        <v>2</v>
      </c>
      <c r="K25" s="30" t="n">
        <f aca="false">IF(Loan_Register!N25&lt;1,Settings!$B$21,0)</f>
        <v>2</v>
      </c>
      <c r="L25" s="30" t="n">
        <f aca="false">IF(AND(Loan_Register!H25="Y",P25&gt;Settings!$B$9),Settings!$B$22,0)</f>
        <v>1</v>
      </c>
      <c r="M25" s="31" t="n">
        <f aca="false">SUM(E25:L25)</f>
        <v>13</v>
      </c>
      <c r="N25" s="25" t="str">
        <f aca="false">IF(M25&gt;=Settings!$B$25,"Critical",IF(M25&gt;=Settings!$B$26,"Watch",IF(M25&gt;=Settings!$B$27,"Monitor","Green")))</f>
        <v>Critical</v>
      </c>
      <c r="O25" s="30" t="n">
        <f aca="false">IF(M25&gt;=Settings!$B$26,COUNTIF($M$5:$M$28,"&gt;"&amp;M25)+COUNTIF($M$5:M25,M25),"")</f>
        <v>1</v>
      </c>
      <c r="P25" s="27" t="n">
        <f aca="false">Loan_Register!G25/Loan_Register!F25</f>
        <v>0.931818181818182</v>
      </c>
    </row>
    <row r="26" customFormat="false" ht="15" hidden="false" customHeight="false" outlineLevel="0" collapsed="false">
      <c r="A26" s="9" t="str">
        <f aca="false">Loan_Register!A26</f>
        <v>PL-1022</v>
      </c>
      <c r="B26" s="9" t="str">
        <f aca="false">Loan_Register!B26</f>
        <v>Lakeside Veterinary Partners, LLC</v>
      </c>
      <c r="C26" s="28" t="n">
        <f aca="false">Loan_Register!G26</f>
        <v>2300000</v>
      </c>
      <c r="D26" s="27" t="n">
        <f aca="false">Loan_Register!Q26/Loan_Register!P26-1</f>
        <v>0.0162162162162161</v>
      </c>
      <c r="E26" s="30" t="n">
        <f aca="false">IF(Covenant_Test!M26="Breach",Settings!$B$13,IF(Covenant_Test!M26="Near Breach",Settings!$B$14,0))</f>
        <v>0</v>
      </c>
      <c r="F26" s="30" t="n">
        <f aca="false">IF(D26&lt;=-Settings!$B$7,Settings!$B$15,0)</f>
        <v>0</v>
      </c>
      <c r="G26" s="30" t="n">
        <f aca="false">IF(Loan_Register!M26&gt;=30,Settings!$B$16,IF(Loan_Register!M26&gt;=15,Settings!$B$17,0))</f>
        <v>0</v>
      </c>
      <c r="H26" s="30" t="n">
        <f aca="false">IF(OR(AND(Loan_Register!W26="",Settings!$B$5&gt;Loan_Register!V26),AND(Loan_Register!W26&lt;&gt;"",Loan_Register!W26&gt;Loan_Register!V26),AND(Loan_Register!Y26="",Settings!$B$5&gt;Loan_Register!X26),AND(Loan_Register!Y26&lt;&gt;"",Loan_Register!Y26&gt;Loan_Register!X26)),Settings!$B$18,0)</f>
        <v>0</v>
      </c>
      <c r="I26" s="30" t="n">
        <f aca="false">IF(Loan_Register!H26="Y",IF(Settings!$B$5-Loan_Register!Z26&gt;Settings!$B$8,Settings!$B$19,0),0)</f>
        <v>0</v>
      </c>
      <c r="J26" s="30" t="n">
        <f aca="false">IF(Loan_Register!L26&gt;Loan_Register!K26,Settings!$B$20,0)</f>
        <v>0</v>
      </c>
      <c r="K26" s="30" t="n">
        <f aca="false">IF(Loan_Register!N26&lt;1,Settings!$B$21,0)</f>
        <v>0</v>
      </c>
      <c r="L26" s="30" t="n">
        <f aca="false">IF(AND(Loan_Register!H26="Y",P26&gt;Settings!$B$9),Settings!$B$22,0)</f>
        <v>0</v>
      </c>
      <c r="M26" s="31" t="n">
        <f aca="false">SUM(E26:L26)</f>
        <v>0</v>
      </c>
      <c r="N26" s="25" t="str">
        <f aca="false">IF(M26&gt;=Settings!$B$25,"Critical",IF(M26&gt;=Settings!$B$26,"Watch",IF(M26&gt;=Settings!$B$27,"Monitor","Green")))</f>
        <v>Green</v>
      </c>
      <c r="O26" s="30" t="str">
        <f aca="false">IF(M26&gt;=Settings!$B$26,COUNTIF($M$5:$M$28,"&gt;"&amp;M26)+COUNTIF($M$5:M26,M26),"")</f>
        <v/>
      </c>
      <c r="P26" s="27" t="n">
        <f aca="false">Loan_Register!G26/Loan_Register!F26</f>
        <v>0.884615384615385</v>
      </c>
    </row>
    <row r="27" customFormat="false" ht="15" hidden="false" customHeight="false" outlineLevel="0" collapsed="false">
      <c r="A27" s="9" t="str">
        <f aca="false">Loan_Register!A27</f>
        <v>PL-1023</v>
      </c>
      <c r="B27" s="9" t="str">
        <f aca="false">Loan_Register!B27</f>
        <v>Bellaire Industrial Flex, LLC</v>
      </c>
      <c r="C27" s="28" t="n">
        <f aca="false">Loan_Register!G27</f>
        <v>5000000</v>
      </c>
      <c r="D27" s="27" t="n">
        <f aca="false">Loan_Register!Q27/Loan_Register!P27-1</f>
        <v>0.0128205128205128</v>
      </c>
      <c r="E27" s="30" t="n">
        <f aca="false">IF(Covenant_Test!M27="Breach",Settings!$B$13,IF(Covenant_Test!M27="Near Breach",Settings!$B$14,0))</f>
        <v>0</v>
      </c>
      <c r="F27" s="30" t="n">
        <f aca="false">IF(D27&lt;=-Settings!$B$7,Settings!$B$15,0)</f>
        <v>0</v>
      </c>
      <c r="G27" s="30" t="n">
        <f aca="false">IF(Loan_Register!M27&gt;=30,Settings!$B$16,IF(Loan_Register!M27&gt;=15,Settings!$B$17,0))</f>
        <v>0</v>
      </c>
      <c r="H27" s="30" t="n">
        <f aca="false">IF(OR(AND(Loan_Register!W27="",Settings!$B$5&gt;Loan_Register!V27),AND(Loan_Register!W27&lt;&gt;"",Loan_Register!W27&gt;Loan_Register!V27),AND(Loan_Register!Y27="",Settings!$B$5&gt;Loan_Register!X27),AND(Loan_Register!Y27&lt;&gt;"",Loan_Register!Y27&gt;Loan_Register!X27)),Settings!$B$18,0)</f>
        <v>0</v>
      </c>
      <c r="I27" s="30" t="n">
        <f aca="false">IF(Loan_Register!H27="Y",IF(Settings!$B$5-Loan_Register!Z27&gt;Settings!$B$8,Settings!$B$19,0),0)</f>
        <v>0</v>
      </c>
      <c r="J27" s="30" t="n">
        <f aca="false">IF(Loan_Register!L27&gt;Loan_Register!K27,Settings!$B$20,0)</f>
        <v>0</v>
      </c>
      <c r="K27" s="30" t="n">
        <f aca="false">IF(Loan_Register!N27&lt;1,Settings!$B$21,0)</f>
        <v>0</v>
      </c>
      <c r="L27" s="30" t="n">
        <f aca="false">IF(AND(Loan_Register!H27="Y",P27&gt;Settings!$B$9),Settings!$B$22,0)</f>
        <v>0</v>
      </c>
      <c r="M27" s="31" t="n">
        <f aca="false">SUM(E27:L27)</f>
        <v>0</v>
      </c>
      <c r="N27" s="25" t="str">
        <f aca="false">IF(M27&gt;=Settings!$B$25,"Critical",IF(M27&gt;=Settings!$B$26,"Watch",IF(M27&gt;=Settings!$B$27,"Monitor","Green")))</f>
        <v>Green</v>
      </c>
      <c r="O27" s="30" t="str">
        <f aca="false">IF(M27&gt;=Settings!$B$26,COUNTIF($M$5:$M$28,"&gt;"&amp;M27)+COUNTIF($M$5:M27,M27),"")</f>
        <v/>
      </c>
      <c r="P27" s="27" t="n">
        <f aca="false">Loan_Register!G27/Loan_Register!F27</f>
        <v>0.961538461538462</v>
      </c>
    </row>
    <row r="28" customFormat="false" ht="15" hidden="false" customHeight="false" outlineLevel="0" collapsed="false">
      <c r="A28" s="9" t="str">
        <f aca="false">Loan_Register!A28</f>
        <v>PL-1024</v>
      </c>
      <c r="B28" s="9" t="str">
        <f aca="false">Loan_Register!B28</f>
        <v>Texan Precision Plastics, LLC</v>
      </c>
      <c r="C28" s="28" t="n">
        <f aca="false">Loan_Register!G28</f>
        <v>2900000</v>
      </c>
      <c r="D28" s="27" t="n">
        <f aca="false">Loan_Register!Q28/Loan_Register!P28-1</f>
        <v>-0.191860465116279</v>
      </c>
      <c r="E28" s="30" t="n">
        <f aca="false">IF(Covenant_Test!M28="Breach",Settings!$B$13,IF(Covenant_Test!M28="Near Breach",Settings!$B$14,0))</f>
        <v>0</v>
      </c>
      <c r="F28" s="30" t="n">
        <f aca="false">IF(D28&lt;=-Settings!$B$7,Settings!$B$15,0)</f>
        <v>2</v>
      </c>
      <c r="G28" s="30" t="n">
        <f aca="false">IF(Loan_Register!M28&gt;=30,Settings!$B$16,IF(Loan_Register!M28&gt;=15,Settings!$B$17,0))</f>
        <v>0</v>
      </c>
      <c r="H28" s="30" t="n">
        <f aca="false">IF(OR(AND(Loan_Register!W28="",Settings!$B$5&gt;Loan_Register!V28),AND(Loan_Register!W28&lt;&gt;"",Loan_Register!W28&gt;Loan_Register!V28),AND(Loan_Register!Y28="",Settings!$B$5&gt;Loan_Register!X28),AND(Loan_Register!Y28&lt;&gt;"",Loan_Register!Y28&gt;Loan_Register!X28)),Settings!$B$18,0)</f>
        <v>0</v>
      </c>
      <c r="I28" s="30" t="n">
        <f aca="false">IF(Loan_Register!H28="Y",IF(Settings!$B$5-Loan_Register!Z28&gt;Settings!$B$8,Settings!$B$19,0),0)</f>
        <v>0</v>
      </c>
      <c r="J28" s="30" t="n">
        <f aca="false">IF(Loan_Register!L28&gt;Loan_Register!K28,Settings!$B$20,0)</f>
        <v>0</v>
      </c>
      <c r="K28" s="30" t="n">
        <f aca="false">IF(Loan_Register!N28&lt;1,Settings!$B$21,0)</f>
        <v>0</v>
      </c>
      <c r="L28" s="30" t="n">
        <f aca="false">IF(AND(Loan_Register!H28="Y",P28&gt;Settings!$B$9),Settings!$B$22,0)</f>
        <v>0</v>
      </c>
      <c r="M28" s="31" t="n">
        <f aca="false">SUM(E28:L28)</f>
        <v>2</v>
      </c>
      <c r="N28" s="25" t="str">
        <f aca="false">IF(M28&gt;=Settings!$B$25,"Critical",IF(M28&gt;=Settings!$B$26,"Watch",IF(M28&gt;=Settings!$B$27,"Monitor","Green")))</f>
        <v>Monitor</v>
      </c>
      <c r="O28" s="30" t="str">
        <f aca="false">IF(M28&gt;=Settings!$B$26,COUNTIF($M$5:$M$28,"&gt;"&amp;M28)+COUNTIF($M$5:M28,M28),"")</f>
        <v/>
      </c>
      <c r="P28" s="27" t="n">
        <f aca="false">Loan_Register!G28/Loan_Register!F28</f>
        <v>0.852941176470588</v>
      </c>
    </row>
    <row r="30" customFormat="false" ht="30" hidden="false" customHeight="true" outlineLevel="0" collapsed="false">
      <c r="A30" s="5"/>
      <c r="B30" s="5" t="s">
        <v>254</v>
      </c>
      <c r="C30" s="5" t="s">
        <v>105</v>
      </c>
      <c r="D30" s="5" t="s">
        <v>239</v>
      </c>
    </row>
    <row r="31" customFormat="false" ht="15" hidden="false" customHeight="false" outlineLevel="0" collapsed="false">
      <c r="B31" s="6" t="s">
        <v>68</v>
      </c>
      <c r="C31" s="32" t="n">
        <f aca="false">SUMIF($N$5:$N$28,B31,$C$5:$C$28)</f>
        <v>26400000</v>
      </c>
      <c r="D31" s="29" t="n">
        <f aca="false">COUNTIF($N$5:$N$28,B31)</f>
        <v>4</v>
      </c>
    </row>
    <row r="32" customFormat="false" ht="15" hidden="false" customHeight="false" outlineLevel="0" collapsed="false">
      <c r="B32" s="6" t="s">
        <v>70</v>
      </c>
      <c r="C32" s="32" t="n">
        <f aca="false">SUMIF($N$5:$N$28,B32,$C$5:$C$28)</f>
        <v>13700000</v>
      </c>
      <c r="D32" s="29" t="n">
        <f aca="false">COUNTIF($N$5:$N$28,B32)</f>
        <v>1</v>
      </c>
    </row>
    <row r="33" customFormat="false" ht="15" hidden="false" customHeight="false" outlineLevel="0" collapsed="false">
      <c r="B33" s="6" t="s">
        <v>72</v>
      </c>
      <c r="C33" s="32" t="n">
        <f aca="false">SUMIF($N$5:$N$28,B33,$C$5:$C$28)</f>
        <v>22640000</v>
      </c>
      <c r="D33" s="29" t="n">
        <f aca="false">COUNTIF($N$5:$N$28,B33)</f>
        <v>5</v>
      </c>
    </row>
    <row r="34" customFormat="false" ht="15" hidden="false" customHeight="false" outlineLevel="0" collapsed="false">
      <c r="B34" s="6" t="s">
        <v>257</v>
      </c>
      <c r="C34" s="32" t="n">
        <f aca="false">SUMIF($N$5:$N$28,B34,$C$5:$C$28)</f>
        <v>51200000</v>
      </c>
      <c r="D34" s="29" t="n">
        <f aca="false">COUNTIF($N$5:$N$28,B34)</f>
        <v>14</v>
      </c>
    </row>
  </sheetData>
  <conditionalFormatting sqref="N5:N28">
    <cfRule type="cellIs" priority="2" operator="equal" aboveAverage="0" equalAverage="0" bottom="0" percent="0" rank="0" text="" dxfId="0">
      <formula>"Breach"</formula>
    </cfRule>
    <cfRule type="cellIs" priority="3" operator="equal" aboveAverage="0" equalAverage="0" bottom="0" percent="0" rank="0" text="" dxfId="0">
      <formula>"Critical"</formula>
    </cfRule>
    <cfRule type="cellIs" priority="4" operator="equal" aboveAverage="0" equalAverage="0" bottom="0" percent="0" rank="0" text="" dxfId="0">
      <formula>"Outstanding past due"</formula>
    </cfRule>
    <cfRule type="cellIs" priority="5" operator="equal" aboveAverage="0" equalAverage="0" bottom="0" percent="0" rank="0" text="" dxfId="1">
      <formula>"Near Breach"</formula>
    </cfRule>
    <cfRule type="cellIs" priority="6" operator="equal" aboveAverage="0" equalAverage="0" bottom="0" percent="0" rank="0" text="" dxfId="1">
      <formula>"Watch"</formula>
    </cfRule>
    <cfRule type="cellIs" priority="7" operator="equal" aboveAverage="0" equalAverage="0" bottom="0" percent="0" rank="0" text="" dxfId="2">
      <formula>"Received late"</formula>
    </cfRule>
    <cfRule type="cellIs" priority="8" operator="equal" aboveAverage="0" equalAverage="0" bottom="0" percent="0" rank="0" text="" dxfId="2">
      <formula>"Monitor"</formula>
    </cfRule>
    <cfRule type="cellIs" priority="9" operator="equal" aboveAverage="0" equalAverage="0" bottom="0" percent="0" rank="0" text="" dxfId="0">
      <formula>"Late"</formula>
    </cfRule>
    <cfRule type="cellIs" priority="10" operator="equal" aboveAverage="0" equalAverage="0" bottom="0" percent="0" rank="0" text="" dxfId="1">
      <formula>"Near limit"</formula>
    </cfRule>
    <cfRule type="cellIs" priority="11" operator="equal" aboveAverage="0" equalAverage="0" bottom="0" percent="0" rank="0" text="" dxfId="0">
      <formula>"Over limit"</formula>
    </cfRule>
    <cfRule type="cellIs" priority="12" operator="equal" aboveAverage="0" equalAverage="0" bottom="0" percent="0" rank="0" text="" dxfId="2">
      <formula>"Maturing &lt;= 12 mo"</formula>
    </cfRule>
    <cfRule type="cellIs" priority="13" operator="equal" aboveAverage="0" equalAverage="0" bottom="0" percent="0" rank="0" text="" dxfId="3">
      <formula>"Pass"</formula>
    </cfRule>
    <cfRule type="cellIs" priority="14" operator="equal" aboveAverage="0" equalAverage="0" bottom="0" percent="0" rank="0" text="" dxfId="3">
      <formula>"Green"</formula>
    </cfRule>
    <cfRule type="cellIs" priority="15" operator="equal" aboveAverage="0" equalAverage="0" bottom="0" percent="0" rank="0" text="" dxfId="3">
      <formula>"Within limit"</formula>
    </cfRule>
  </conditionalFormatting>
  <conditionalFormatting sqref="B31:B34">
    <cfRule type="cellIs" priority="16" operator="equal" aboveAverage="0" equalAverage="0" bottom="0" percent="0" rank="0" text="" dxfId="0">
      <formula>"Breach"</formula>
    </cfRule>
    <cfRule type="cellIs" priority="17" operator="equal" aboveAverage="0" equalAverage="0" bottom="0" percent="0" rank="0" text="" dxfId="0">
      <formula>"Critical"</formula>
    </cfRule>
    <cfRule type="cellIs" priority="18" operator="equal" aboveAverage="0" equalAverage="0" bottom="0" percent="0" rank="0" text="" dxfId="0">
      <formula>"Outstanding past due"</formula>
    </cfRule>
    <cfRule type="cellIs" priority="19" operator="equal" aboveAverage="0" equalAverage="0" bottom="0" percent="0" rank="0" text="" dxfId="1">
      <formula>"Near Breach"</formula>
    </cfRule>
    <cfRule type="cellIs" priority="20" operator="equal" aboveAverage="0" equalAverage="0" bottom="0" percent="0" rank="0" text="" dxfId="1">
      <formula>"Watch"</formula>
    </cfRule>
    <cfRule type="cellIs" priority="21" operator="equal" aboveAverage="0" equalAverage="0" bottom="0" percent="0" rank="0" text="" dxfId="2">
      <formula>"Received late"</formula>
    </cfRule>
    <cfRule type="cellIs" priority="22" operator="equal" aboveAverage="0" equalAverage="0" bottom="0" percent="0" rank="0" text="" dxfId="2">
      <formula>"Monitor"</formula>
    </cfRule>
    <cfRule type="cellIs" priority="23" operator="equal" aboveAverage="0" equalAverage="0" bottom="0" percent="0" rank="0" text="" dxfId="0">
      <formula>"Late"</formula>
    </cfRule>
    <cfRule type="cellIs" priority="24" operator="equal" aboveAverage="0" equalAverage="0" bottom="0" percent="0" rank="0" text="" dxfId="1">
      <formula>"Near limit"</formula>
    </cfRule>
    <cfRule type="cellIs" priority="25" operator="equal" aboveAverage="0" equalAverage="0" bottom="0" percent="0" rank="0" text="" dxfId="0">
      <formula>"Over limit"</formula>
    </cfRule>
    <cfRule type="cellIs" priority="26" operator="equal" aboveAverage="0" equalAverage="0" bottom="0" percent="0" rank="0" text="" dxfId="2">
      <formula>"Maturing &lt;= 12 mo"</formula>
    </cfRule>
    <cfRule type="cellIs" priority="27" operator="equal" aboveAverage="0" equalAverage="0" bottom="0" percent="0" rank="0" text="" dxfId="3">
      <formula>"Pass"</formula>
    </cfRule>
    <cfRule type="cellIs" priority="28" operator="equal" aboveAverage="0" equalAverage="0" bottom="0" percent="0" rank="0" text="" dxfId="3">
      <formula>"Green"</formula>
    </cfRule>
    <cfRule type="cellIs" priority="29" operator="equal" aboveAverage="0" equalAverage="0" bottom="0" percent="0" rank="0" text="" dxfId="3">
      <formula>"Within limit"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8" min="6" style="0" width="8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90"/>
  </cols>
  <sheetData>
    <row r="1" customFormat="false" ht="17.35" hidden="false" customHeight="false" outlineLevel="0" collapsed="false">
      <c r="A1" s="10" t="s">
        <v>258</v>
      </c>
    </row>
    <row r="2" customFormat="false" ht="15" hidden="false" customHeight="false" outlineLevel="0" collapsed="false">
      <c r="A2" s="3" t="s">
        <v>259</v>
      </c>
    </row>
    <row r="4" customFormat="false" ht="30" hidden="false" customHeight="true" outlineLevel="0" collapsed="false">
      <c r="A4" s="5" t="s">
        <v>260</v>
      </c>
      <c r="B4" s="5" t="s">
        <v>99</v>
      </c>
      <c r="C4" s="5" t="s">
        <v>100</v>
      </c>
      <c r="D4" s="5" t="s">
        <v>102</v>
      </c>
      <c r="E4" s="5" t="s">
        <v>105</v>
      </c>
      <c r="F4" s="5" t="s">
        <v>261</v>
      </c>
      <c r="G4" s="5" t="s">
        <v>262</v>
      </c>
      <c r="H4" s="5" t="s">
        <v>263</v>
      </c>
      <c r="I4" s="5" t="s">
        <v>264</v>
      </c>
      <c r="J4" s="5" t="s">
        <v>265</v>
      </c>
      <c r="K4" s="5" t="s">
        <v>266</v>
      </c>
    </row>
    <row r="5" customFormat="false" ht="15" hidden="false" customHeight="false" outlineLevel="0" collapsed="false">
      <c r="A5" s="33" t="n">
        <v>1</v>
      </c>
      <c r="B5" s="9" t="str">
        <f aca="false">IFERROR(INDEX(Loan_Register!$A$5:$A$28,MATCH(A5,Early_Warning!$O$5:$O$28,0)),"")</f>
        <v>PL-1021</v>
      </c>
      <c r="C5" s="9" t="str">
        <f aca="false">IFERROR(INDEX(Loan_Register!$B$5:$B$28,MATCH(A5,Early_Warning!$O$5:$O$28,0)),"")</f>
        <v>Heights Craft Brewing Co.</v>
      </c>
      <c r="D5" s="9" t="str">
        <f aca="false">IFERROR(INDEX(Loan_Register!$D$5:$D$28,MATCH(A5,Early_Warning!$O$5:$O$28,0)),"")</f>
        <v>Food &amp; Beverage Mfg</v>
      </c>
      <c r="E5" s="28" t="n">
        <f aca="false">IFERROR(INDEX(Loan_Register!$G$5:$G$28,MATCH(A5,Early_Warning!$O$5:$O$28,0)),"")</f>
        <v>2050000</v>
      </c>
      <c r="F5" s="30" t="n">
        <f aca="false">IFERROR(INDEX(Loan_Register!$K$5:$K$28,MATCH(A5,Early_Warning!$O$5:$O$28,0)),"")</f>
        <v>6</v>
      </c>
      <c r="G5" s="30" t="n">
        <f aca="false">IFERROR(INDEX(Loan_Register!$L$5:$L$28,MATCH(A5,Early_Warning!$O$5:$O$28,0)),"")</f>
        <v>8</v>
      </c>
      <c r="H5" s="30" t="n">
        <f aca="false">IFERROR(INDEX(Early_Warning!$M$5:$M$28,MATCH(A5,Early_Warning!$O$5:$O$28,0)),"")</f>
        <v>13</v>
      </c>
      <c r="I5" s="25" t="str">
        <f aca="false">IFERROR(INDEX(Early_Warning!$N$5:$N$28,MATCH(A5,Early_Warning!$O$5:$O$28,0)),"")</f>
        <v>Critical</v>
      </c>
      <c r="J5" s="25" t="str">
        <f aca="false">IFERROR(INDEX(Covenant_Test!$M$5:$M$28,MATCH(A5,Early_Warning!$O$5:$O$28,0)),"")</f>
        <v>Breach</v>
      </c>
      <c r="K5" s="9" t="str">
        <f aca="false">IFERROR(INDEX(Loan_Register!$AA$5:$AA$28,MATCH(A5,Early_Warning!$O$5:$O$28,0)),"")</f>
        <v>Lost largest distribution contract in Q2; revenue down 22%. 32 days past due and both covenants breached. Downgraded to Substandard. Action: transfer to Special Assets, order equipment appraisal, updated guarantor PFS, evaluate forbearance.</v>
      </c>
    </row>
    <row r="6" customFormat="false" ht="15" hidden="false" customHeight="false" outlineLevel="0" collapsed="false">
      <c r="A6" s="33" t="n">
        <v>2</v>
      </c>
      <c r="B6" s="9" t="str">
        <f aca="false">IFERROR(INDEX(Loan_Register!$A$5:$A$28,MATCH(A6,Early_Warning!$O$5:$O$28,0)),"")</f>
        <v>PL-1009</v>
      </c>
      <c r="C6" s="9" t="str">
        <f aca="false">IFERROR(INDEX(Loan_Register!$B$5:$B$28,MATCH(A6,Early_Warning!$O$5:$O$28,0)),"")</f>
        <v>Westchase Office Plaza, LLC</v>
      </c>
      <c r="D6" s="9" t="str">
        <f aca="false">IFERROR(INDEX(Loan_Register!$D$5:$D$28,MATCH(A6,Early_Warning!$O$5:$O$28,0)),"")</f>
        <v>CRE - Office</v>
      </c>
      <c r="E6" s="28" t="n">
        <f aca="false">IFERROR(INDEX(Loan_Register!$G$5:$G$28,MATCH(A6,Early_Warning!$O$5:$O$28,0)),"")</f>
        <v>11200000</v>
      </c>
      <c r="F6" s="30" t="n">
        <f aca="false">IFERROR(INDEX(Loan_Register!$K$5:$K$28,MATCH(A6,Early_Warning!$O$5:$O$28,0)),"")</f>
        <v>5</v>
      </c>
      <c r="G6" s="30" t="n">
        <f aca="false">IFERROR(INDEX(Loan_Register!$L$5:$L$28,MATCH(A6,Early_Warning!$O$5:$O$28,0)),"")</f>
        <v>7</v>
      </c>
      <c r="H6" s="30" t="n">
        <f aca="false">IFERROR(INDEX(Early_Warning!$M$5:$M$28,MATCH(A6,Early_Warning!$O$5:$O$28,0)),"")</f>
        <v>7</v>
      </c>
      <c r="I6" s="25" t="str">
        <f aca="false">IFERROR(INDEX(Early_Warning!$N$5:$N$28,MATCH(A6,Early_Warning!$O$5:$O$28,0)),"")</f>
        <v>Critical</v>
      </c>
      <c r="J6" s="25" t="str">
        <f aca="false">IFERROR(INDEX(Covenant_Test!$M$5:$M$28,MATCH(A6,Early_Warning!$O$5:$O$28,0)),"")</f>
        <v>Breach</v>
      </c>
      <c r="K6" s="9" t="str">
        <f aca="false">IFERROR(INDEX(Loan_Register!$AA$5:$AA$28,MATCH(A6,Early_Warning!$O$5:$O$28,0)),"")</f>
        <v>Occupancy fell from 86% to 71% after the anchor tenant vacated; new appraisal puts LTV at 79%. Both covenants breached. Downgraded to Special Mention. Action: require $600K curtailment or added collateral, monthly leasing reports, start refinance planning for Dec 2027 maturity.</v>
      </c>
    </row>
    <row r="7" customFormat="false" ht="15" hidden="false" customHeight="false" outlineLevel="0" collapsed="false">
      <c r="A7" s="33" t="n">
        <v>3</v>
      </c>
      <c r="B7" s="9" t="str">
        <f aca="false">IFERROR(INDEX(Loan_Register!$A$5:$A$28,MATCH(A7,Early_Warning!$O$5:$O$28,0)),"")</f>
        <v>PL-1007</v>
      </c>
      <c r="C7" s="9" t="str">
        <f aca="false">IFERROR(INDEX(Loan_Register!$B$5:$B$28,MATCH(A7,Early_Warning!$O$5:$O$28,0)),"")</f>
        <v>Harbor Point Logistics, LLC</v>
      </c>
      <c r="D7" s="9" t="str">
        <f aca="false">IFERROR(INDEX(Loan_Register!$D$5:$D$28,MATCH(A7,Early_Warning!$O$5:$O$28,0)),"")</f>
        <v>Transportation</v>
      </c>
      <c r="E7" s="28" t="n">
        <f aca="false">IFERROR(INDEX(Loan_Register!$G$5:$G$28,MATCH(A7,Early_Warning!$O$5:$O$28,0)),"")</f>
        <v>5200000</v>
      </c>
      <c r="F7" s="30" t="n">
        <f aca="false">IFERROR(INDEX(Loan_Register!$K$5:$K$28,MATCH(A7,Early_Warning!$O$5:$O$28,0)),"")</f>
        <v>4</v>
      </c>
      <c r="G7" s="30" t="n">
        <f aca="false">IFERROR(INDEX(Loan_Register!$L$5:$L$28,MATCH(A7,Early_Warning!$O$5:$O$28,0)),"")</f>
        <v>5</v>
      </c>
      <c r="H7" s="30" t="n">
        <f aca="false">IFERROR(INDEX(Early_Warning!$M$5:$M$28,MATCH(A7,Early_Warning!$O$5:$O$28,0)),"")</f>
        <v>6</v>
      </c>
      <c r="I7" s="25" t="str">
        <f aca="false">IFERROR(INDEX(Early_Warning!$N$5:$N$28,MATCH(A7,Early_Warning!$O$5:$O$28,0)),"")</f>
        <v>Critical</v>
      </c>
      <c r="J7" s="25" t="str">
        <f aca="false">IFERROR(INDEX(Covenant_Test!$M$5:$M$28,MATCH(A7,Early_Warning!$O$5:$O$28,0)),"")</f>
        <v>Breach</v>
      </c>
      <c r="K7" s="9" t="str">
        <f aca="false">IFERROR(INDEX(Loan_Register!$AA$5:$AA$28,MATCH(A7,Early_Warning!$O$5:$O$28,0)),"")</f>
        <v>Freight rate softness cut EBITDA 14%; DSCR breached and 6/30 interims past due. Downgraded to 5. Action: default notice issued, interims within 15 days, evaluate sale of excess tractors to deleverage.</v>
      </c>
    </row>
    <row r="8" customFormat="false" ht="15" hidden="false" customHeight="false" outlineLevel="0" collapsed="false">
      <c r="A8" s="33" t="n">
        <v>4</v>
      </c>
      <c r="B8" s="9" t="str">
        <f aca="false">IFERROR(INDEX(Loan_Register!$A$5:$A$28,MATCH(A8,Early_Warning!$O$5:$O$28,0)),"")</f>
        <v>PL-1005</v>
      </c>
      <c r="C8" s="9" t="str">
        <f aca="false">IFERROR(INDEX(Loan_Register!$B$5:$B$28,MATCH(A8,Early_Warning!$O$5:$O$28,0)),"")</f>
        <v>Lone Oak Hospitality, Inc.</v>
      </c>
      <c r="D8" s="9" t="str">
        <f aca="false">IFERROR(INDEX(Loan_Register!$D$5:$D$28,MATCH(A8,Early_Warning!$O$5:$O$28,0)),"")</f>
        <v>CRE - Hospitality</v>
      </c>
      <c r="E8" s="28" t="n">
        <f aca="false">IFERROR(INDEX(Loan_Register!$G$5:$G$28,MATCH(A8,Early_Warning!$O$5:$O$28,0)),"")</f>
        <v>7950000</v>
      </c>
      <c r="F8" s="30" t="n">
        <f aca="false">IFERROR(INDEX(Loan_Register!$K$5:$K$28,MATCH(A8,Early_Warning!$O$5:$O$28,0)),"")</f>
        <v>5</v>
      </c>
      <c r="G8" s="30" t="n">
        <f aca="false">IFERROR(INDEX(Loan_Register!$L$5:$L$28,MATCH(A8,Early_Warning!$O$5:$O$28,0)),"")</f>
        <v>6</v>
      </c>
      <c r="H8" s="30" t="n">
        <f aca="false">IFERROR(INDEX(Early_Warning!$M$5:$M$28,MATCH(A8,Early_Warning!$O$5:$O$28,0)),"")</f>
        <v>5</v>
      </c>
      <c r="I8" s="25" t="str">
        <f aca="false">IFERROR(INDEX(Early_Warning!$N$5:$N$28,MATCH(A8,Early_Warning!$O$5:$O$28,0)),"")</f>
        <v>Critical</v>
      </c>
      <c r="J8" s="25" t="str">
        <f aca="false">IFERROR(INDEX(Covenant_Test!$M$5:$M$28,MATCH(A8,Early_Warning!$O$5:$O$28,0)),"")</f>
        <v>Breach</v>
      </c>
      <c r="K8" s="9" t="str">
        <f aca="false">IFERROR(INDEX(Loan_Register!$AA$5:$AA$28,MATCH(A8,Early_Warning!$O$5:$O$28,0)),"")</f>
        <v>RevPAR down 9% after a competing hotel opened nearby; DSCR covenant breached. Downgraded to 6 (Watch). Action: waiver with fee, 6-month debt service reserve, 90-day business plan, monthly STR reports.</v>
      </c>
    </row>
    <row r="9" customFormat="false" ht="15" hidden="false" customHeight="false" outlineLevel="0" collapsed="false">
      <c r="A9" s="33" t="n">
        <v>5</v>
      </c>
      <c r="B9" s="9" t="str">
        <f aca="false">IFERROR(INDEX(Loan_Register!$A$5:$A$28,MATCH(A9,Early_Warning!$O$5:$O$28,0)),"")</f>
        <v>PL-1004</v>
      </c>
      <c r="C9" s="9" t="str">
        <f aca="false">IFERROR(INDEX(Loan_Register!$B$5:$B$28,MATCH(A9,Early_Warning!$O$5:$O$28,0)),"")</f>
        <v>Cypress Ridge Apartments, LP</v>
      </c>
      <c r="D9" s="9" t="str">
        <f aca="false">IFERROR(INDEX(Loan_Register!$D$5:$D$28,MATCH(A9,Early_Warning!$O$5:$O$28,0)),"")</f>
        <v>CRE - Multifamily</v>
      </c>
      <c r="E9" s="28" t="n">
        <f aca="false">IFERROR(INDEX(Loan_Register!$G$5:$G$28,MATCH(A9,Early_Warning!$O$5:$O$28,0)),"")</f>
        <v>13700000</v>
      </c>
      <c r="F9" s="30" t="n">
        <f aca="false">IFERROR(INDEX(Loan_Register!$K$5:$K$28,MATCH(A9,Early_Warning!$O$5:$O$28,0)),"")</f>
        <v>4</v>
      </c>
      <c r="G9" s="30" t="n">
        <f aca="false">IFERROR(INDEX(Loan_Register!$L$5:$L$28,MATCH(A9,Early_Warning!$O$5:$O$28,0)),"")</f>
        <v>5</v>
      </c>
      <c r="H9" s="30" t="n">
        <f aca="false">IFERROR(INDEX(Early_Warning!$M$5:$M$28,MATCH(A9,Early_Warning!$O$5:$O$28,0)),"")</f>
        <v>3</v>
      </c>
      <c r="I9" s="25" t="str">
        <f aca="false">IFERROR(INDEX(Early_Warning!$N$5:$N$28,MATCH(A9,Early_Warning!$O$5:$O$28,0)),"")</f>
        <v>Watch</v>
      </c>
      <c r="J9" s="25" t="str">
        <f aca="false">IFERROR(INDEX(Covenant_Test!$M$5:$M$28,MATCH(A9,Early_Warning!$O$5:$O$28,0)),"")</f>
        <v>Near Breach</v>
      </c>
      <c r="K9" s="9" t="str">
        <f aca="false">IFERROR(INDEX(Loan_Register!$AA$5:$AA$28,MATCH(A9,Early_Warning!$O$5:$O$28,0)),"")</f>
        <v>Insurance premiums up 38% and new-lease concessions compressed NOI; DSCR within 1% of covenant. Downgraded to 5. Action: monthly rent rolls, sponsor-funded insurance reserve, rate cap renewal before Mar 2027 expiry.</v>
      </c>
    </row>
    <row r="10" customFormat="false" ht="15" hidden="false" customHeight="false" outlineLevel="0" collapsed="false">
      <c r="A10" s="33" t="n">
        <v>6</v>
      </c>
      <c r="B10" s="9" t="str">
        <f aca="false">IFERROR(INDEX(Loan_Register!$A$5:$A$28,MATCH(A10,Early_Warning!$O$5:$O$28,0)),"")</f>
        <v/>
      </c>
      <c r="C10" s="9" t="str">
        <f aca="false">IFERROR(INDEX(Loan_Register!$B$5:$B$28,MATCH(A10,Early_Warning!$O$5:$O$28,0)),"")</f>
        <v/>
      </c>
      <c r="D10" s="9" t="str">
        <f aca="false">IFERROR(INDEX(Loan_Register!$D$5:$D$28,MATCH(A10,Early_Warning!$O$5:$O$28,0)),"")</f>
        <v/>
      </c>
      <c r="E10" s="28" t="str">
        <f aca="false">IFERROR(INDEX(Loan_Register!$G$5:$G$28,MATCH(A10,Early_Warning!$O$5:$O$28,0)),"")</f>
        <v/>
      </c>
      <c r="F10" s="30" t="str">
        <f aca="false">IFERROR(INDEX(Loan_Register!$K$5:$K$28,MATCH(A10,Early_Warning!$O$5:$O$28,0)),"")</f>
        <v/>
      </c>
      <c r="G10" s="30" t="str">
        <f aca="false">IFERROR(INDEX(Loan_Register!$L$5:$L$28,MATCH(A10,Early_Warning!$O$5:$O$28,0)),"")</f>
        <v/>
      </c>
      <c r="H10" s="30" t="str">
        <f aca="false">IFERROR(INDEX(Early_Warning!$M$5:$M$28,MATCH(A10,Early_Warning!$O$5:$O$28,0)),"")</f>
        <v/>
      </c>
      <c r="I10" s="25" t="str">
        <f aca="false">IFERROR(INDEX(Early_Warning!$N$5:$N$28,MATCH(A10,Early_Warning!$O$5:$O$28,0)),"")</f>
        <v/>
      </c>
      <c r="J10" s="25" t="str">
        <f aca="false">IFERROR(INDEX(Covenant_Test!$M$5:$M$28,MATCH(A10,Early_Warning!$O$5:$O$28,0)),"")</f>
        <v/>
      </c>
      <c r="K10" s="9" t="str">
        <f aca="false">IFERROR(INDEX(Loan_Register!$AA$5:$AA$28,MATCH(A10,Early_Warning!$O$5:$O$28,0)),"")</f>
        <v/>
      </c>
    </row>
    <row r="11" customFormat="false" ht="15" hidden="false" customHeight="false" outlineLevel="0" collapsed="false">
      <c r="A11" s="33" t="n">
        <v>7</v>
      </c>
      <c r="B11" s="9" t="str">
        <f aca="false">IFERROR(INDEX(Loan_Register!$A$5:$A$28,MATCH(A11,Early_Warning!$O$5:$O$28,0)),"")</f>
        <v/>
      </c>
      <c r="C11" s="9" t="str">
        <f aca="false">IFERROR(INDEX(Loan_Register!$B$5:$B$28,MATCH(A11,Early_Warning!$O$5:$O$28,0)),"")</f>
        <v/>
      </c>
      <c r="D11" s="9" t="str">
        <f aca="false">IFERROR(INDEX(Loan_Register!$D$5:$D$28,MATCH(A11,Early_Warning!$O$5:$O$28,0)),"")</f>
        <v/>
      </c>
      <c r="E11" s="28" t="str">
        <f aca="false">IFERROR(INDEX(Loan_Register!$G$5:$G$28,MATCH(A11,Early_Warning!$O$5:$O$28,0)),"")</f>
        <v/>
      </c>
      <c r="F11" s="30" t="str">
        <f aca="false">IFERROR(INDEX(Loan_Register!$K$5:$K$28,MATCH(A11,Early_Warning!$O$5:$O$28,0)),"")</f>
        <v/>
      </c>
      <c r="G11" s="30" t="str">
        <f aca="false">IFERROR(INDEX(Loan_Register!$L$5:$L$28,MATCH(A11,Early_Warning!$O$5:$O$28,0)),"")</f>
        <v/>
      </c>
      <c r="H11" s="30" t="str">
        <f aca="false">IFERROR(INDEX(Early_Warning!$M$5:$M$28,MATCH(A11,Early_Warning!$O$5:$O$28,0)),"")</f>
        <v/>
      </c>
      <c r="I11" s="25" t="str">
        <f aca="false">IFERROR(INDEX(Early_Warning!$N$5:$N$28,MATCH(A11,Early_Warning!$O$5:$O$28,0)),"")</f>
        <v/>
      </c>
      <c r="J11" s="25" t="str">
        <f aca="false">IFERROR(INDEX(Covenant_Test!$M$5:$M$28,MATCH(A11,Early_Warning!$O$5:$O$28,0)),"")</f>
        <v/>
      </c>
      <c r="K11" s="9" t="str">
        <f aca="false">IFERROR(INDEX(Loan_Register!$AA$5:$AA$28,MATCH(A11,Early_Warning!$O$5:$O$28,0)),"")</f>
        <v/>
      </c>
    </row>
    <row r="12" customFormat="false" ht="15" hidden="false" customHeight="false" outlineLevel="0" collapsed="false">
      <c r="A12" s="33" t="n">
        <v>8</v>
      </c>
      <c r="B12" s="9" t="str">
        <f aca="false">IFERROR(INDEX(Loan_Register!$A$5:$A$28,MATCH(A12,Early_Warning!$O$5:$O$28,0)),"")</f>
        <v/>
      </c>
      <c r="C12" s="9" t="str">
        <f aca="false">IFERROR(INDEX(Loan_Register!$B$5:$B$28,MATCH(A12,Early_Warning!$O$5:$O$28,0)),"")</f>
        <v/>
      </c>
      <c r="D12" s="9" t="str">
        <f aca="false">IFERROR(INDEX(Loan_Register!$D$5:$D$28,MATCH(A12,Early_Warning!$O$5:$O$28,0)),"")</f>
        <v/>
      </c>
      <c r="E12" s="28" t="str">
        <f aca="false">IFERROR(INDEX(Loan_Register!$G$5:$G$28,MATCH(A12,Early_Warning!$O$5:$O$28,0)),"")</f>
        <v/>
      </c>
      <c r="F12" s="30" t="str">
        <f aca="false">IFERROR(INDEX(Loan_Register!$K$5:$K$28,MATCH(A12,Early_Warning!$O$5:$O$28,0)),"")</f>
        <v/>
      </c>
      <c r="G12" s="30" t="str">
        <f aca="false">IFERROR(INDEX(Loan_Register!$L$5:$L$28,MATCH(A12,Early_Warning!$O$5:$O$28,0)),"")</f>
        <v/>
      </c>
      <c r="H12" s="30" t="str">
        <f aca="false">IFERROR(INDEX(Early_Warning!$M$5:$M$28,MATCH(A12,Early_Warning!$O$5:$O$28,0)),"")</f>
        <v/>
      </c>
      <c r="I12" s="25" t="str">
        <f aca="false">IFERROR(INDEX(Early_Warning!$N$5:$N$28,MATCH(A12,Early_Warning!$O$5:$O$28,0)),"")</f>
        <v/>
      </c>
      <c r="J12" s="25" t="str">
        <f aca="false">IFERROR(INDEX(Covenant_Test!$M$5:$M$28,MATCH(A12,Early_Warning!$O$5:$O$28,0)),"")</f>
        <v/>
      </c>
      <c r="K12" s="9" t="str">
        <f aca="false">IFERROR(INDEX(Loan_Register!$AA$5:$AA$28,MATCH(A12,Early_Warning!$O$5:$O$28,0)),"")</f>
        <v/>
      </c>
    </row>
    <row r="13" customFormat="false" ht="15" hidden="false" customHeight="false" outlineLevel="0" collapsed="false">
      <c r="A13" s="33" t="n">
        <v>9</v>
      </c>
      <c r="B13" s="9" t="str">
        <f aca="false">IFERROR(INDEX(Loan_Register!$A$5:$A$28,MATCH(A13,Early_Warning!$O$5:$O$28,0)),"")</f>
        <v/>
      </c>
      <c r="C13" s="9" t="str">
        <f aca="false">IFERROR(INDEX(Loan_Register!$B$5:$B$28,MATCH(A13,Early_Warning!$O$5:$O$28,0)),"")</f>
        <v/>
      </c>
      <c r="D13" s="9" t="str">
        <f aca="false">IFERROR(INDEX(Loan_Register!$D$5:$D$28,MATCH(A13,Early_Warning!$O$5:$O$28,0)),"")</f>
        <v/>
      </c>
      <c r="E13" s="28" t="str">
        <f aca="false">IFERROR(INDEX(Loan_Register!$G$5:$G$28,MATCH(A13,Early_Warning!$O$5:$O$28,0)),"")</f>
        <v/>
      </c>
      <c r="F13" s="30" t="str">
        <f aca="false">IFERROR(INDEX(Loan_Register!$K$5:$K$28,MATCH(A13,Early_Warning!$O$5:$O$28,0)),"")</f>
        <v/>
      </c>
      <c r="G13" s="30" t="str">
        <f aca="false">IFERROR(INDEX(Loan_Register!$L$5:$L$28,MATCH(A13,Early_Warning!$O$5:$O$28,0)),"")</f>
        <v/>
      </c>
      <c r="H13" s="30" t="str">
        <f aca="false">IFERROR(INDEX(Early_Warning!$M$5:$M$28,MATCH(A13,Early_Warning!$O$5:$O$28,0)),"")</f>
        <v/>
      </c>
      <c r="I13" s="25" t="str">
        <f aca="false">IFERROR(INDEX(Early_Warning!$N$5:$N$28,MATCH(A13,Early_Warning!$O$5:$O$28,0)),"")</f>
        <v/>
      </c>
      <c r="J13" s="25" t="str">
        <f aca="false">IFERROR(INDEX(Covenant_Test!$M$5:$M$28,MATCH(A13,Early_Warning!$O$5:$O$28,0)),"")</f>
        <v/>
      </c>
      <c r="K13" s="9" t="str">
        <f aca="false">IFERROR(INDEX(Loan_Register!$AA$5:$AA$28,MATCH(A13,Early_Warning!$O$5:$O$28,0)),"")</f>
        <v/>
      </c>
    </row>
    <row r="14" customFormat="false" ht="15" hidden="false" customHeight="false" outlineLevel="0" collapsed="false">
      <c r="A14" s="33" t="n">
        <v>10</v>
      </c>
      <c r="B14" s="9" t="str">
        <f aca="false">IFERROR(INDEX(Loan_Register!$A$5:$A$28,MATCH(A14,Early_Warning!$O$5:$O$28,0)),"")</f>
        <v/>
      </c>
      <c r="C14" s="9" t="str">
        <f aca="false">IFERROR(INDEX(Loan_Register!$B$5:$B$28,MATCH(A14,Early_Warning!$O$5:$O$28,0)),"")</f>
        <v/>
      </c>
      <c r="D14" s="9" t="str">
        <f aca="false">IFERROR(INDEX(Loan_Register!$D$5:$D$28,MATCH(A14,Early_Warning!$O$5:$O$28,0)),"")</f>
        <v/>
      </c>
      <c r="E14" s="28" t="str">
        <f aca="false">IFERROR(INDEX(Loan_Register!$G$5:$G$28,MATCH(A14,Early_Warning!$O$5:$O$28,0)),"")</f>
        <v/>
      </c>
      <c r="F14" s="30" t="str">
        <f aca="false">IFERROR(INDEX(Loan_Register!$K$5:$K$28,MATCH(A14,Early_Warning!$O$5:$O$28,0)),"")</f>
        <v/>
      </c>
      <c r="G14" s="30" t="str">
        <f aca="false">IFERROR(INDEX(Loan_Register!$L$5:$L$28,MATCH(A14,Early_Warning!$O$5:$O$28,0)),"")</f>
        <v/>
      </c>
      <c r="H14" s="30" t="str">
        <f aca="false">IFERROR(INDEX(Early_Warning!$M$5:$M$28,MATCH(A14,Early_Warning!$O$5:$O$28,0)),"")</f>
        <v/>
      </c>
      <c r="I14" s="25" t="str">
        <f aca="false">IFERROR(INDEX(Early_Warning!$N$5:$N$28,MATCH(A14,Early_Warning!$O$5:$O$28,0)),"")</f>
        <v/>
      </c>
      <c r="J14" s="25" t="str">
        <f aca="false">IFERROR(INDEX(Covenant_Test!$M$5:$M$28,MATCH(A14,Early_Warning!$O$5:$O$28,0)),"")</f>
        <v/>
      </c>
      <c r="K14" s="9" t="str">
        <f aca="false">IFERROR(INDEX(Loan_Register!$AA$5:$AA$28,MATCH(A14,Early_Warning!$O$5:$O$28,0)),"")</f>
        <v/>
      </c>
    </row>
    <row r="15" customFormat="false" ht="15" hidden="false" customHeight="false" outlineLevel="0" collapsed="false">
      <c r="A15" s="33" t="n">
        <v>11</v>
      </c>
      <c r="B15" s="9" t="str">
        <f aca="false">IFERROR(INDEX(Loan_Register!$A$5:$A$28,MATCH(A15,Early_Warning!$O$5:$O$28,0)),"")</f>
        <v/>
      </c>
      <c r="C15" s="9" t="str">
        <f aca="false">IFERROR(INDEX(Loan_Register!$B$5:$B$28,MATCH(A15,Early_Warning!$O$5:$O$28,0)),"")</f>
        <v/>
      </c>
      <c r="D15" s="9" t="str">
        <f aca="false">IFERROR(INDEX(Loan_Register!$D$5:$D$28,MATCH(A15,Early_Warning!$O$5:$O$28,0)),"")</f>
        <v/>
      </c>
      <c r="E15" s="28" t="str">
        <f aca="false">IFERROR(INDEX(Loan_Register!$G$5:$G$28,MATCH(A15,Early_Warning!$O$5:$O$28,0)),"")</f>
        <v/>
      </c>
      <c r="F15" s="30" t="str">
        <f aca="false">IFERROR(INDEX(Loan_Register!$K$5:$K$28,MATCH(A15,Early_Warning!$O$5:$O$28,0)),"")</f>
        <v/>
      </c>
      <c r="G15" s="30" t="str">
        <f aca="false">IFERROR(INDEX(Loan_Register!$L$5:$L$28,MATCH(A15,Early_Warning!$O$5:$O$28,0)),"")</f>
        <v/>
      </c>
      <c r="H15" s="30" t="str">
        <f aca="false">IFERROR(INDEX(Early_Warning!$M$5:$M$28,MATCH(A15,Early_Warning!$O$5:$O$28,0)),"")</f>
        <v/>
      </c>
      <c r="I15" s="25" t="str">
        <f aca="false">IFERROR(INDEX(Early_Warning!$N$5:$N$28,MATCH(A15,Early_Warning!$O$5:$O$28,0)),"")</f>
        <v/>
      </c>
      <c r="J15" s="25" t="str">
        <f aca="false">IFERROR(INDEX(Covenant_Test!$M$5:$M$28,MATCH(A15,Early_Warning!$O$5:$O$28,0)),"")</f>
        <v/>
      </c>
      <c r="K15" s="9" t="str">
        <f aca="false">IFERROR(INDEX(Loan_Register!$AA$5:$AA$28,MATCH(A15,Early_Warning!$O$5:$O$28,0)),"")</f>
        <v/>
      </c>
    </row>
    <row r="16" customFormat="false" ht="15" hidden="false" customHeight="false" outlineLevel="0" collapsed="false">
      <c r="A16" s="33" t="n">
        <v>12</v>
      </c>
      <c r="B16" s="9" t="str">
        <f aca="false">IFERROR(INDEX(Loan_Register!$A$5:$A$28,MATCH(A16,Early_Warning!$O$5:$O$28,0)),"")</f>
        <v/>
      </c>
      <c r="C16" s="9" t="str">
        <f aca="false">IFERROR(INDEX(Loan_Register!$B$5:$B$28,MATCH(A16,Early_Warning!$O$5:$O$28,0)),"")</f>
        <v/>
      </c>
      <c r="D16" s="9" t="str">
        <f aca="false">IFERROR(INDEX(Loan_Register!$D$5:$D$28,MATCH(A16,Early_Warning!$O$5:$O$28,0)),"")</f>
        <v/>
      </c>
      <c r="E16" s="28" t="str">
        <f aca="false">IFERROR(INDEX(Loan_Register!$G$5:$G$28,MATCH(A16,Early_Warning!$O$5:$O$28,0)),"")</f>
        <v/>
      </c>
      <c r="F16" s="30" t="str">
        <f aca="false">IFERROR(INDEX(Loan_Register!$K$5:$K$28,MATCH(A16,Early_Warning!$O$5:$O$28,0)),"")</f>
        <v/>
      </c>
      <c r="G16" s="30" t="str">
        <f aca="false">IFERROR(INDEX(Loan_Register!$L$5:$L$28,MATCH(A16,Early_Warning!$O$5:$O$28,0)),"")</f>
        <v/>
      </c>
      <c r="H16" s="30" t="str">
        <f aca="false">IFERROR(INDEX(Early_Warning!$M$5:$M$28,MATCH(A16,Early_Warning!$O$5:$O$28,0)),"")</f>
        <v/>
      </c>
      <c r="I16" s="25" t="str">
        <f aca="false">IFERROR(INDEX(Early_Warning!$N$5:$N$28,MATCH(A16,Early_Warning!$O$5:$O$28,0)),"")</f>
        <v/>
      </c>
      <c r="J16" s="25" t="str">
        <f aca="false">IFERROR(INDEX(Covenant_Test!$M$5:$M$28,MATCH(A16,Early_Warning!$O$5:$O$28,0)),"")</f>
        <v/>
      </c>
      <c r="K16" s="9" t="str">
        <f aca="false">IFERROR(INDEX(Loan_Register!$AA$5:$AA$28,MATCH(A16,Early_Warning!$O$5:$O$28,0)),"")</f>
        <v/>
      </c>
    </row>
    <row r="18" customFormat="false" ht="15" hidden="false" customHeight="false" outlineLevel="0" collapsed="false">
      <c r="C18" s="6" t="s">
        <v>267</v>
      </c>
      <c r="E18" s="22" t="n">
        <f aca="false">SUM(E5:E16)</f>
        <v>40100000</v>
      </c>
    </row>
    <row r="19" customFormat="false" ht="15" hidden="false" customHeight="false" outlineLevel="0" collapsed="false">
      <c r="C19" s="6" t="s">
        <v>268</v>
      </c>
      <c r="E19" s="34" t="n">
        <f aca="false">E18/Loan_Register!G30</f>
        <v>0.351939617342461</v>
      </c>
    </row>
    <row r="20" customFormat="false" ht="15" hidden="false" customHeight="false" outlineLevel="0" collapsed="false">
      <c r="C20" s="6" t="s">
        <v>269</v>
      </c>
      <c r="E20" s="29" t="n">
        <f aca="false">COUNT(H5:H16)</f>
        <v>5</v>
      </c>
    </row>
  </sheetData>
  <conditionalFormatting sqref="I5:J16">
    <cfRule type="cellIs" priority="2" operator="equal" aboveAverage="0" equalAverage="0" bottom="0" percent="0" rank="0" text="" dxfId="0">
      <formula>"Breach"</formula>
    </cfRule>
    <cfRule type="cellIs" priority="3" operator="equal" aboveAverage="0" equalAverage="0" bottom="0" percent="0" rank="0" text="" dxfId="0">
      <formula>"Critical"</formula>
    </cfRule>
    <cfRule type="cellIs" priority="4" operator="equal" aboveAverage="0" equalAverage="0" bottom="0" percent="0" rank="0" text="" dxfId="0">
      <formula>"Outstanding past due"</formula>
    </cfRule>
    <cfRule type="cellIs" priority="5" operator="equal" aboveAverage="0" equalAverage="0" bottom="0" percent="0" rank="0" text="" dxfId="1">
      <formula>"Near Breach"</formula>
    </cfRule>
    <cfRule type="cellIs" priority="6" operator="equal" aboveAverage="0" equalAverage="0" bottom="0" percent="0" rank="0" text="" dxfId="1">
      <formula>"Watch"</formula>
    </cfRule>
    <cfRule type="cellIs" priority="7" operator="equal" aboveAverage="0" equalAverage="0" bottom="0" percent="0" rank="0" text="" dxfId="2">
      <formula>"Received late"</formula>
    </cfRule>
    <cfRule type="cellIs" priority="8" operator="equal" aboveAverage="0" equalAverage="0" bottom="0" percent="0" rank="0" text="" dxfId="2">
      <formula>"Monitor"</formula>
    </cfRule>
    <cfRule type="cellIs" priority="9" operator="equal" aboveAverage="0" equalAverage="0" bottom="0" percent="0" rank="0" text="" dxfId="0">
      <formula>"Late"</formula>
    </cfRule>
    <cfRule type="cellIs" priority="10" operator="equal" aboveAverage="0" equalAverage="0" bottom="0" percent="0" rank="0" text="" dxfId="1">
      <formula>"Near limit"</formula>
    </cfRule>
    <cfRule type="cellIs" priority="11" operator="equal" aboveAverage="0" equalAverage="0" bottom="0" percent="0" rank="0" text="" dxfId="0">
      <formula>"Over limit"</formula>
    </cfRule>
    <cfRule type="cellIs" priority="12" operator="equal" aboveAverage="0" equalAverage="0" bottom="0" percent="0" rank="0" text="" dxfId="2">
      <formula>"Maturing &lt;= 12 mo"</formula>
    </cfRule>
    <cfRule type="cellIs" priority="13" operator="equal" aboveAverage="0" equalAverage="0" bottom="0" percent="0" rank="0" text="" dxfId="3">
      <formula>"Pass"</formula>
    </cfRule>
    <cfRule type="cellIs" priority="14" operator="equal" aboveAverage="0" equalAverage="0" bottom="0" percent="0" rank="0" text="" dxfId="3">
      <formula>"Green"</formula>
    </cfRule>
    <cfRule type="cellIs" priority="15" operator="equal" aboveAverage="0" equalAverage="0" bottom="0" percent="0" rank="0" text="" dxfId="3">
      <formula>"Within limit"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9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0" t="s">
        <v>270</v>
      </c>
    </row>
    <row r="2" customFormat="false" ht="15" hidden="false" customHeight="false" outlineLevel="0" collapsed="false">
      <c r="A2" s="3" t="s">
        <v>271</v>
      </c>
    </row>
    <row r="4" customFormat="false" ht="30" hidden="false" customHeight="true" outlineLevel="0" collapsed="false">
      <c r="A4" s="5" t="s">
        <v>239</v>
      </c>
      <c r="B4" s="5" t="s">
        <v>272</v>
      </c>
      <c r="C4" s="5" t="s">
        <v>273</v>
      </c>
      <c r="D4" s="5" t="s">
        <v>274</v>
      </c>
      <c r="E4" s="5" t="s">
        <v>275</v>
      </c>
      <c r="F4" s="5" t="s">
        <v>276</v>
      </c>
      <c r="G4" s="5" t="s">
        <v>277</v>
      </c>
      <c r="H4" s="5" t="s">
        <v>278</v>
      </c>
      <c r="I4" s="5" t="s">
        <v>279</v>
      </c>
      <c r="J4" s="5" t="s">
        <v>280</v>
      </c>
      <c r="K4" s="5" t="s">
        <v>281</v>
      </c>
    </row>
    <row r="5" customFormat="false" ht="15" hidden="false" customHeight="false" outlineLevel="0" collapsed="false">
      <c r="A5" s="6" t="s">
        <v>282</v>
      </c>
      <c r="B5" s="35" t="n">
        <f aca="false">COUNTIFS(Loan_Register!$K$5:$K$28,1,Loan_Register!$L$5:$L$28,1)</f>
        <v>0</v>
      </c>
      <c r="C5" s="36" t="n">
        <f aca="false">COUNTIFS(Loan_Register!$K$5:$K$28,1,Loan_Register!$L$5:$L$28,2)</f>
        <v>0</v>
      </c>
      <c r="D5" s="36" t="n">
        <f aca="false">COUNTIFS(Loan_Register!$K$5:$K$28,1,Loan_Register!$L$5:$L$28,3)</f>
        <v>0</v>
      </c>
      <c r="E5" s="36" t="n">
        <f aca="false">COUNTIFS(Loan_Register!$K$5:$K$28,1,Loan_Register!$L$5:$L$28,4)</f>
        <v>0</v>
      </c>
      <c r="F5" s="36" t="n">
        <f aca="false">COUNTIFS(Loan_Register!$K$5:$K$28,1,Loan_Register!$L$5:$L$28,5)</f>
        <v>0</v>
      </c>
      <c r="G5" s="36" t="n">
        <f aca="false">COUNTIFS(Loan_Register!$K$5:$K$28,1,Loan_Register!$L$5:$L$28,6)</f>
        <v>0</v>
      </c>
      <c r="H5" s="36" t="n">
        <f aca="false">COUNTIFS(Loan_Register!$K$5:$K$28,1,Loan_Register!$L$5:$L$28,7)</f>
        <v>0</v>
      </c>
      <c r="I5" s="36" t="n">
        <f aca="false">COUNTIFS(Loan_Register!$K$5:$K$28,1,Loan_Register!$L$5:$L$28,8)</f>
        <v>0</v>
      </c>
      <c r="J5" s="36" t="n">
        <f aca="false">COUNTIFS(Loan_Register!$K$5:$K$28,1,Loan_Register!$L$5:$L$28,9)</f>
        <v>0</v>
      </c>
      <c r="K5" s="37" t="n">
        <f aca="false">SUM(B5:J5)</f>
        <v>0</v>
      </c>
    </row>
    <row r="6" customFormat="false" ht="15" hidden="false" customHeight="false" outlineLevel="0" collapsed="false">
      <c r="A6" s="6" t="s">
        <v>283</v>
      </c>
      <c r="B6" s="36" t="n">
        <f aca="false">COUNTIFS(Loan_Register!$K$5:$K$28,2,Loan_Register!$L$5:$L$28,1)</f>
        <v>0</v>
      </c>
      <c r="C6" s="35" t="n">
        <f aca="false">COUNTIFS(Loan_Register!$K$5:$K$28,2,Loan_Register!$L$5:$L$28,2)</f>
        <v>1</v>
      </c>
      <c r="D6" s="36" t="n">
        <f aca="false">COUNTIFS(Loan_Register!$K$5:$K$28,2,Loan_Register!$L$5:$L$28,3)</f>
        <v>0</v>
      </c>
      <c r="E6" s="36" t="n">
        <f aca="false">COUNTIFS(Loan_Register!$K$5:$K$28,2,Loan_Register!$L$5:$L$28,4)</f>
        <v>0</v>
      </c>
      <c r="F6" s="36" t="n">
        <f aca="false">COUNTIFS(Loan_Register!$K$5:$K$28,2,Loan_Register!$L$5:$L$28,5)</f>
        <v>0</v>
      </c>
      <c r="G6" s="36" t="n">
        <f aca="false">COUNTIFS(Loan_Register!$K$5:$K$28,2,Loan_Register!$L$5:$L$28,6)</f>
        <v>0</v>
      </c>
      <c r="H6" s="36" t="n">
        <f aca="false">COUNTIFS(Loan_Register!$K$5:$K$28,2,Loan_Register!$L$5:$L$28,7)</f>
        <v>0</v>
      </c>
      <c r="I6" s="36" t="n">
        <f aca="false">COUNTIFS(Loan_Register!$K$5:$K$28,2,Loan_Register!$L$5:$L$28,8)</f>
        <v>0</v>
      </c>
      <c r="J6" s="36" t="n">
        <f aca="false">COUNTIFS(Loan_Register!$K$5:$K$28,2,Loan_Register!$L$5:$L$28,9)</f>
        <v>0</v>
      </c>
      <c r="K6" s="37" t="n">
        <f aca="false">SUM(B6:J6)</f>
        <v>1</v>
      </c>
    </row>
    <row r="7" customFormat="false" ht="15" hidden="false" customHeight="false" outlineLevel="0" collapsed="false">
      <c r="A7" s="6" t="s">
        <v>284</v>
      </c>
      <c r="B7" s="36" t="n">
        <f aca="false">COUNTIFS(Loan_Register!$K$5:$K$28,3,Loan_Register!$L$5:$L$28,1)</f>
        <v>0</v>
      </c>
      <c r="C7" s="36" t="n">
        <f aca="false">COUNTIFS(Loan_Register!$K$5:$K$28,3,Loan_Register!$L$5:$L$28,2)</f>
        <v>0</v>
      </c>
      <c r="D7" s="35" t="n">
        <f aca="false">COUNTIFS(Loan_Register!$K$5:$K$28,3,Loan_Register!$L$5:$L$28,3)</f>
        <v>7</v>
      </c>
      <c r="E7" s="36" t="n">
        <f aca="false">COUNTIFS(Loan_Register!$K$5:$K$28,3,Loan_Register!$L$5:$L$28,4)</f>
        <v>0</v>
      </c>
      <c r="F7" s="36" t="n">
        <f aca="false">COUNTIFS(Loan_Register!$K$5:$K$28,3,Loan_Register!$L$5:$L$28,5)</f>
        <v>0</v>
      </c>
      <c r="G7" s="36" t="n">
        <f aca="false">COUNTIFS(Loan_Register!$K$5:$K$28,3,Loan_Register!$L$5:$L$28,6)</f>
        <v>0</v>
      </c>
      <c r="H7" s="36" t="n">
        <f aca="false">COUNTIFS(Loan_Register!$K$5:$K$28,3,Loan_Register!$L$5:$L$28,7)</f>
        <v>0</v>
      </c>
      <c r="I7" s="36" t="n">
        <f aca="false">COUNTIFS(Loan_Register!$K$5:$K$28,3,Loan_Register!$L$5:$L$28,8)</f>
        <v>0</v>
      </c>
      <c r="J7" s="36" t="n">
        <f aca="false">COUNTIFS(Loan_Register!$K$5:$K$28,3,Loan_Register!$L$5:$L$28,9)</f>
        <v>0</v>
      </c>
      <c r="K7" s="37" t="n">
        <f aca="false">SUM(B7:J7)</f>
        <v>7</v>
      </c>
    </row>
    <row r="8" customFormat="false" ht="15" hidden="false" customHeight="false" outlineLevel="0" collapsed="false">
      <c r="A8" s="6" t="s">
        <v>285</v>
      </c>
      <c r="B8" s="36" t="n">
        <f aca="false">COUNTIFS(Loan_Register!$K$5:$K$28,4,Loan_Register!$L$5:$L$28,1)</f>
        <v>0</v>
      </c>
      <c r="C8" s="36" t="n">
        <f aca="false">COUNTIFS(Loan_Register!$K$5:$K$28,4,Loan_Register!$L$5:$L$28,2)</f>
        <v>0</v>
      </c>
      <c r="D8" s="36" t="n">
        <f aca="false">COUNTIFS(Loan_Register!$K$5:$K$28,4,Loan_Register!$L$5:$L$28,3)</f>
        <v>1</v>
      </c>
      <c r="E8" s="35" t="n">
        <f aca="false">COUNTIFS(Loan_Register!$K$5:$K$28,4,Loan_Register!$L$5:$L$28,4)</f>
        <v>8</v>
      </c>
      <c r="F8" s="36" t="n">
        <f aca="false">COUNTIFS(Loan_Register!$K$5:$K$28,4,Loan_Register!$L$5:$L$28,5)</f>
        <v>2</v>
      </c>
      <c r="G8" s="36" t="n">
        <f aca="false">COUNTIFS(Loan_Register!$K$5:$K$28,4,Loan_Register!$L$5:$L$28,6)</f>
        <v>0</v>
      </c>
      <c r="H8" s="36" t="n">
        <f aca="false">COUNTIFS(Loan_Register!$K$5:$K$28,4,Loan_Register!$L$5:$L$28,7)</f>
        <v>0</v>
      </c>
      <c r="I8" s="36" t="n">
        <f aca="false">COUNTIFS(Loan_Register!$K$5:$K$28,4,Loan_Register!$L$5:$L$28,8)</f>
        <v>0</v>
      </c>
      <c r="J8" s="36" t="n">
        <f aca="false">COUNTIFS(Loan_Register!$K$5:$K$28,4,Loan_Register!$L$5:$L$28,9)</f>
        <v>0</v>
      </c>
      <c r="K8" s="37" t="n">
        <f aca="false">SUM(B8:J8)</f>
        <v>11</v>
      </c>
    </row>
    <row r="9" customFormat="false" ht="15" hidden="false" customHeight="false" outlineLevel="0" collapsed="false">
      <c r="A9" s="6" t="s">
        <v>286</v>
      </c>
      <c r="B9" s="36" t="n">
        <f aca="false">COUNTIFS(Loan_Register!$K$5:$K$28,5,Loan_Register!$L$5:$L$28,1)</f>
        <v>0</v>
      </c>
      <c r="C9" s="36" t="n">
        <f aca="false">COUNTIFS(Loan_Register!$K$5:$K$28,5,Loan_Register!$L$5:$L$28,2)</f>
        <v>0</v>
      </c>
      <c r="D9" s="36" t="n">
        <f aca="false">COUNTIFS(Loan_Register!$K$5:$K$28,5,Loan_Register!$L$5:$L$28,3)</f>
        <v>0</v>
      </c>
      <c r="E9" s="36" t="n">
        <f aca="false">COUNTIFS(Loan_Register!$K$5:$K$28,5,Loan_Register!$L$5:$L$28,4)</f>
        <v>0</v>
      </c>
      <c r="F9" s="35" t="n">
        <f aca="false">COUNTIFS(Loan_Register!$K$5:$K$28,5,Loan_Register!$L$5:$L$28,5)</f>
        <v>1</v>
      </c>
      <c r="G9" s="36" t="n">
        <f aca="false">COUNTIFS(Loan_Register!$K$5:$K$28,5,Loan_Register!$L$5:$L$28,6)</f>
        <v>1</v>
      </c>
      <c r="H9" s="36" t="n">
        <f aca="false">COUNTIFS(Loan_Register!$K$5:$K$28,5,Loan_Register!$L$5:$L$28,7)</f>
        <v>1</v>
      </c>
      <c r="I9" s="36" t="n">
        <f aca="false">COUNTIFS(Loan_Register!$K$5:$K$28,5,Loan_Register!$L$5:$L$28,8)</f>
        <v>0</v>
      </c>
      <c r="J9" s="36" t="n">
        <f aca="false">COUNTIFS(Loan_Register!$K$5:$K$28,5,Loan_Register!$L$5:$L$28,9)</f>
        <v>0</v>
      </c>
      <c r="K9" s="37" t="n">
        <f aca="false">SUM(B9:J9)</f>
        <v>3</v>
      </c>
    </row>
    <row r="10" customFormat="false" ht="15" hidden="false" customHeight="false" outlineLevel="0" collapsed="false">
      <c r="A10" s="6" t="s">
        <v>287</v>
      </c>
      <c r="B10" s="36" t="n">
        <f aca="false">COUNTIFS(Loan_Register!$K$5:$K$28,6,Loan_Register!$L$5:$L$28,1)</f>
        <v>0</v>
      </c>
      <c r="C10" s="36" t="n">
        <f aca="false">COUNTIFS(Loan_Register!$K$5:$K$28,6,Loan_Register!$L$5:$L$28,2)</f>
        <v>0</v>
      </c>
      <c r="D10" s="36" t="n">
        <f aca="false">COUNTIFS(Loan_Register!$K$5:$K$28,6,Loan_Register!$L$5:$L$28,3)</f>
        <v>0</v>
      </c>
      <c r="E10" s="36" t="n">
        <f aca="false">COUNTIFS(Loan_Register!$K$5:$K$28,6,Loan_Register!$L$5:$L$28,4)</f>
        <v>0</v>
      </c>
      <c r="F10" s="36" t="n">
        <f aca="false">COUNTIFS(Loan_Register!$K$5:$K$28,6,Loan_Register!$L$5:$L$28,5)</f>
        <v>1</v>
      </c>
      <c r="G10" s="35" t="n">
        <f aca="false">COUNTIFS(Loan_Register!$K$5:$K$28,6,Loan_Register!$L$5:$L$28,6)</f>
        <v>0</v>
      </c>
      <c r="H10" s="36" t="n">
        <f aca="false">COUNTIFS(Loan_Register!$K$5:$K$28,6,Loan_Register!$L$5:$L$28,7)</f>
        <v>0</v>
      </c>
      <c r="I10" s="36" t="n">
        <f aca="false">COUNTIFS(Loan_Register!$K$5:$K$28,6,Loan_Register!$L$5:$L$28,8)</f>
        <v>1</v>
      </c>
      <c r="J10" s="36" t="n">
        <f aca="false">COUNTIFS(Loan_Register!$K$5:$K$28,6,Loan_Register!$L$5:$L$28,9)</f>
        <v>0</v>
      </c>
      <c r="K10" s="37" t="n">
        <f aca="false">SUM(B10:J10)</f>
        <v>2</v>
      </c>
    </row>
    <row r="11" customFormat="false" ht="15" hidden="false" customHeight="false" outlineLevel="0" collapsed="false">
      <c r="A11" s="6" t="s">
        <v>288</v>
      </c>
      <c r="B11" s="36" t="n">
        <f aca="false">COUNTIFS(Loan_Register!$K$5:$K$28,7,Loan_Register!$L$5:$L$28,1)</f>
        <v>0</v>
      </c>
      <c r="C11" s="36" t="n">
        <f aca="false">COUNTIFS(Loan_Register!$K$5:$K$28,7,Loan_Register!$L$5:$L$28,2)</f>
        <v>0</v>
      </c>
      <c r="D11" s="36" t="n">
        <f aca="false">COUNTIFS(Loan_Register!$K$5:$K$28,7,Loan_Register!$L$5:$L$28,3)</f>
        <v>0</v>
      </c>
      <c r="E11" s="36" t="n">
        <f aca="false">COUNTIFS(Loan_Register!$K$5:$K$28,7,Loan_Register!$L$5:$L$28,4)</f>
        <v>0</v>
      </c>
      <c r="F11" s="36" t="n">
        <f aca="false">COUNTIFS(Loan_Register!$K$5:$K$28,7,Loan_Register!$L$5:$L$28,5)</f>
        <v>0</v>
      </c>
      <c r="G11" s="36" t="n">
        <f aca="false">COUNTIFS(Loan_Register!$K$5:$K$28,7,Loan_Register!$L$5:$L$28,6)</f>
        <v>0</v>
      </c>
      <c r="H11" s="35" t="n">
        <f aca="false">COUNTIFS(Loan_Register!$K$5:$K$28,7,Loan_Register!$L$5:$L$28,7)</f>
        <v>0</v>
      </c>
      <c r="I11" s="36" t="n">
        <f aca="false">COUNTIFS(Loan_Register!$K$5:$K$28,7,Loan_Register!$L$5:$L$28,8)</f>
        <v>0</v>
      </c>
      <c r="J11" s="36" t="n">
        <f aca="false">COUNTIFS(Loan_Register!$K$5:$K$28,7,Loan_Register!$L$5:$L$28,9)</f>
        <v>0</v>
      </c>
      <c r="K11" s="37" t="n">
        <f aca="false">SUM(B11:J11)</f>
        <v>0</v>
      </c>
    </row>
    <row r="12" customFormat="false" ht="15" hidden="false" customHeight="false" outlineLevel="0" collapsed="false">
      <c r="A12" s="6" t="s">
        <v>289</v>
      </c>
      <c r="B12" s="36" t="n">
        <f aca="false">COUNTIFS(Loan_Register!$K$5:$K$28,8,Loan_Register!$L$5:$L$28,1)</f>
        <v>0</v>
      </c>
      <c r="C12" s="36" t="n">
        <f aca="false">COUNTIFS(Loan_Register!$K$5:$K$28,8,Loan_Register!$L$5:$L$28,2)</f>
        <v>0</v>
      </c>
      <c r="D12" s="36" t="n">
        <f aca="false">COUNTIFS(Loan_Register!$K$5:$K$28,8,Loan_Register!$L$5:$L$28,3)</f>
        <v>0</v>
      </c>
      <c r="E12" s="36" t="n">
        <f aca="false">COUNTIFS(Loan_Register!$K$5:$K$28,8,Loan_Register!$L$5:$L$28,4)</f>
        <v>0</v>
      </c>
      <c r="F12" s="36" t="n">
        <f aca="false">COUNTIFS(Loan_Register!$K$5:$K$28,8,Loan_Register!$L$5:$L$28,5)</f>
        <v>0</v>
      </c>
      <c r="G12" s="36" t="n">
        <f aca="false">COUNTIFS(Loan_Register!$K$5:$K$28,8,Loan_Register!$L$5:$L$28,6)</f>
        <v>0</v>
      </c>
      <c r="H12" s="36" t="n">
        <f aca="false">COUNTIFS(Loan_Register!$K$5:$K$28,8,Loan_Register!$L$5:$L$28,7)</f>
        <v>0</v>
      </c>
      <c r="I12" s="35" t="n">
        <f aca="false">COUNTIFS(Loan_Register!$K$5:$K$28,8,Loan_Register!$L$5:$L$28,8)</f>
        <v>0</v>
      </c>
      <c r="J12" s="36" t="n">
        <f aca="false">COUNTIFS(Loan_Register!$K$5:$K$28,8,Loan_Register!$L$5:$L$28,9)</f>
        <v>0</v>
      </c>
      <c r="K12" s="37" t="n">
        <f aca="false">SUM(B12:J12)</f>
        <v>0</v>
      </c>
    </row>
    <row r="13" customFormat="false" ht="15" hidden="false" customHeight="false" outlineLevel="0" collapsed="false">
      <c r="A13" s="6" t="s">
        <v>290</v>
      </c>
      <c r="B13" s="36" t="n">
        <f aca="false">COUNTIFS(Loan_Register!$K$5:$K$28,9,Loan_Register!$L$5:$L$28,1)</f>
        <v>0</v>
      </c>
      <c r="C13" s="36" t="n">
        <f aca="false">COUNTIFS(Loan_Register!$K$5:$K$28,9,Loan_Register!$L$5:$L$28,2)</f>
        <v>0</v>
      </c>
      <c r="D13" s="36" t="n">
        <f aca="false">COUNTIFS(Loan_Register!$K$5:$K$28,9,Loan_Register!$L$5:$L$28,3)</f>
        <v>0</v>
      </c>
      <c r="E13" s="36" t="n">
        <f aca="false">COUNTIFS(Loan_Register!$K$5:$K$28,9,Loan_Register!$L$5:$L$28,4)</f>
        <v>0</v>
      </c>
      <c r="F13" s="36" t="n">
        <f aca="false">COUNTIFS(Loan_Register!$K$5:$K$28,9,Loan_Register!$L$5:$L$28,5)</f>
        <v>0</v>
      </c>
      <c r="G13" s="36" t="n">
        <f aca="false">COUNTIFS(Loan_Register!$K$5:$K$28,9,Loan_Register!$L$5:$L$28,6)</f>
        <v>0</v>
      </c>
      <c r="H13" s="36" t="n">
        <f aca="false">COUNTIFS(Loan_Register!$K$5:$K$28,9,Loan_Register!$L$5:$L$28,7)</f>
        <v>0</v>
      </c>
      <c r="I13" s="36" t="n">
        <f aca="false">COUNTIFS(Loan_Register!$K$5:$K$28,9,Loan_Register!$L$5:$L$28,8)</f>
        <v>0</v>
      </c>
      <c r="J13" s="35" t="n">
        <f aca="false">COUNTIFS(Loan_Register!$K$5:$K$28,9,Loan_Register!$L$5:$L$28,9)</f>
        <v>0</v>
      </c>
      <c r="K13" s="37" t="n">
        <f aca="false">SUM(B13:J13)</f>
        <v>0</v>
      </c>
    </row>
    <row r="14" customFormat="false" ht="15" hidden="false" customHeight="false" outlineLevel="0" collapsed="false">
      <c r="A14" s="6" t="s">
        <v>281</v>
      </c>
      <c r="B14" s="38" t="n">
        <f aca="false">SUM(B5:B13)</f>
        <v>0</v>
      </c>
      <c r="C14" s="38" t="n">
        <f aca="false">SUM(C5:C13)</f>
        <v>1</v>
      </c>
      <c r="D14" s="38" t="n">
        <f aca="false">SUM(D5:D13)</f>
        <v>8</v>
      </c>
      <c r="E14" s="38" t="n">
        <f aca="false">SUM(E5:E13)</f>
        <v>8</v>
      </c>
      <c r="F14" s="38" t="n">
        <f aca="false">SUM(F5:F13)</f>
        <v>4</v>
      </c>
      <c r="G14" s="38" t="n">
        <f aca="false">SUM(G5:G13)</f>
        <v>1</v>
      </c>
      <c r="H14" s="38" t="n">
        <f aca="false">SUM(H5:H13)</f>
        <v>1</v>
      </c>
      <c r="I14" s="38" t="n">
        <f aca="false">SUM(I5:I13)</f>
        <v>1</v>
      </c>
      <c r="J14" s="38" t="n">
        <f aca="false">SUM(J5:J13)</f>
        <v>0</v>
      </c>
      <c r="K14" s="38" t="n">
        <f aca="false">SUM(K5:K13)</f>
        <v>24</v>
      </c>
    </row>
    <row r="16" customFormat="false" ht="30" hidden="false" customHeight="true" outlineLevel="0" collapsed="false">
      <c r="A16" s="5" t="s">
        <v>291</v>
      </c>
      <c r="B16" s="5" t="s">
        <v>272</v>
      </c>
      <c r="C16" s="5" t="s">
        <v>273</v>
      </c>
      <c r="D16" s="5" t="s">
        <v>274</v>
      </c>
      <c r="E16" s="5" t="s">
        <v>275</v>
      </c>
      <c r="F16" s="5" t="s">
        <v>276</v>
      </c>
      <c r="G16" s="5" t="s">
        <v>277</v>
      </c>
      <c r="H16" s="5" t="s">
        <v>278</v>
      </c>
      <c r="I16" s="5" t="s">
        <v>279</v>
      </c>
      <c r="J16" s="5" t="s">
        <v>280</v>
      </c>
      <c r="K16" s="5" t="s">
        <v>281</v>
      </c>
    </row>
    <row r="17" customFormat="false" ht="15" hidden="false" customHeight="false" outlineLevel="0" collapsed="false">
      <c r="A17" s="6" t="s">
        <v>282</v>
      </c>
      <c r="B17" s="39" t="n">
        <f aca="false">SUMIFS(Loan_Register!$G$5:$G$28,Loan_Register!$K$5:$K$28,1,Loan_Register!$L$5:$L$28,1)</f>
        <v>0</v>
      </c>
      <c r="C17" s="40" t="n">
        <f aca="false">SUMIFS(Loan_Register!$G$5:$G$28,Loan_Register!$K$5:$K$28,1,Loan_Register!$L$5:$L$28,2)</f>
        <v>0</v>
      </c>
      <c r="D17" s="40" t="n">
        <f aca="false">SUMIFS(Loan_Register!$G$5:$G$28,Loan_Register!$K$5:$K$28,1,Loan_Register!$L$5:$L$28,3)</f>
        <v>0</v>
      </c>
      <c r="E17" s="40" t="n">
        <f aca="false">SUMIFS(Loan_Register!$G$5:$G$28,Loan_Register!$K$5:$K$28,1,Loan_Register!$L$5:$L$28,4)</f>
        <v>0</v>
      </c>
      <c r="F17" s="40" t="n">
        <f aca="false">SUMIFS(Loan_Register!$G$5:$G$28,Loan_Register!$K$5:$K$28,1,Loan_Register!$L$5:$L$28,5)</f>
        <v>0</v>
      </c>
      <c r="G17" s="40" t="n">
        <f aca="false">SUMIFS(Loan_Register!$G$5:$G$28,Loan_Register!$K$5:$K$28,1,Loan_Register!$L$5:$L$28,6)</f>
        <v>0</v>
      </c>
      <c r="H17" s="40" t="n">
        <f aca="false">SUMIFS(Loan_Register!$G$5:$G$28,Loan_Register!$K$5:$K$28,1,Loan_Register!$L$5:$L$28,7)</f>
        <v>0</v>
      </c>
      <c r="I17" s="40" t="n">
        <f aca="false">SUMIFS(Loan_Register!$G$5:$G$28,Loan_Register!$K$5:$K$28,1,Loan_Register!$L$5:$L$28,8)</f>
        <v>0</v>
      </c>
      <c r="J17" s="40" t="n">
        <f aca="false">SUMIFS(Loan_Register!$G$5:$G$28,Loan_Register!$K$5:$K$28,1,Loan_Register!$L$5:$L$28,9)</f>
        <v>0</v>
      </c>
      <c r="K17" s="41" t="n">
        <f aca="false">SUM(B17:J17)</f>
        <v>0</v>
      </c>
    </row>
    <row r="18" customFormat="false" ht="15" hidden="false" customHeight="false" outlineLevel="0" collapsed="false">
      <c r="A18" s="6" t="s">
        <v>283</v>
      </c>
      <c r="B18" s="40" t="n">
        <f aca="false">SUMIFS(Loan_Register!$G$5:$G$28,Loan_Register!$K$5:$K$28,2,Loan_Register!$L$5:$L$28,1)</f>
        <v>0</v>
      </c>
      <c r="C18" s="39" t="n">
        <f aca="false">SUMIFS(Loan_Register!$G$5:$G$28,Loan_Register!$K$5:$K$28,2,Loan_Register!$L$5:$L$28,2)</f>
        <v>1600000</v>
      </c>
      <c r="D18" s="40" t="n">
        <f aca="false">SUMIFS(Loan_Register!$G$5:$G$28,Loan_Register!$K$5:$K$28,2,Loan_Register!$L$5:$L$28,3)</f>
        <v>0</v>
      </c>
      <c r="E18" s="40" t="n">
        <f aca="false">SUMIFS(Loan_Register!$G$5:$G$28,Loan_Register!$K$5:$K$28,2,Loan_Register!$L$5:$L$28,4)</f>
        <v>0</v>
      </c>
      <c r="F18" s="40" t="n">
        <f aca="false">SUMIFS(Loan_Register!$G$5:$G$28,Loan_Register!$K$5:$K$28,2,Loan_Register!$L$5:$L$28,5)</f>
        <v>0</v>
      </c>
      <c r="G18" s="40" t="n">
        <f aca="false">SUMIFS(Loan_Register!$G$5:$G$28,Loan_Register!$K$5:$K$28,2,Loan_Register!$L$5:$L$28,6)</f>
        <v>0</v>
      </c>
      <c r="H18" s="40" t="n">
        <f aca="false">SUMIFS(Loan_Register!$G$5:$G$28,Loan_Register!$K$5:$K$28,2,Loan_Register!$L$5:$L$28,7)</f>
        <v>0</v>
      </c>
      <c r="I18" s="40" t="n">
        <f aca="false">SUMIFS(Loan_Register!$G$5:$G$28,Loan_Register!$K$5:$K$28,2,Loan_Register!$L$5:$L$28,8)</f>
        <v>0</v>
      </c>
      <c r="J18" s="40" t="n">
        <f aca="false">SUMIFS(Loan_Register!$G$5:$G$28,Loan_Register!$K$5:$K$28,2,Loan_Register!$L$5:$L$28,9)</f>
        <v>0</v>
      </c>
      <c r="K18" s="41" t="n">
        <f aca="false">SUM(B18:J18)</f>
        <v>1600000</v>
      </c>
    </row>
    <row r="19" customFormat="false" ht="15" hidden="false" customHeight="false" outlineLevel="0" collapsed="false">
      <c r="A19" s="6" t="s">
        <v>284</v>
      </c>
      <c r="B19" s="40" t="n">
        <f aca="false">SUMIFS(Loan_Register!$G$5:$G$28,Loan_Register!$K$5:$K$28,3,Loan_Register!$L$5:$L$28,1)</f>
        <v>0</v>
      </c>
      <c r="C19" s="40" t="n">
        <f aca="false">SUMIFS(Loan_Register!$G$5:$G$28,Loan_Register!$K$5:$K$28,3,Loan_Register!$L$5:$L$28,2)</f>
        <v>0</v>
      </c>
      <c r="D19" s="39" t="n">
        <f aca="false">SUMIFS(Loan_Register!$G$5:$G$28,Loan_Register!$K$5:$K$28,3,Loan_Register!$L$5:$L$28,3)</f>
        <v>33620000</v>
      </c>
      <c r="E19" s="40" t="n">
        <f aca="false">SUMIFS(Loan_Register!$G$5:$G$28,Loan_Register!$K$5:$K$28,3,Loan_Register!$L$5:$L$28,4)</f>
        <v>0</v>
      </c>
      <c r="F19" s="40" t="n">
        <f aca="false">SUMIFS(Loan_Register!$G$5:$G$28,Loan_Register!$K$5:$K$28,3,Loan_Register!$L$5:$L$28,5)</f>
        <v>0</v>
      </c>
      <c r="G19" s="40" t="n">
        <f aca="false">SUMIFS(Loan_Register!$G$5:$G$28,Loan_Register!$K$5:$K$28,3,Loan_Register!$L$5:$L$28,6)</f>
        <v>0</v>
      </c>
      <c r="H19" s="40" t="n">
        <f aca="false">SUMIFS(Loan_Register!$G$5:$G$28,Loan_Register!$K$5:$K$28,3,Loan_Register!$L$5:$L$28,7)</f>
        <v>0</v>
      </c>
      <c r="I19" s="40" t="n">
        <f aca="false">SUMIFS(Loan_Register!$G$5:$G$28,Loan_Register!$K$5:$K$28,3,Loan_Register!$L$5:$L$28,8)</f>
        <v>0</v>
      </c>
      <c r="J19" s="40" t="n">
        <f aca="false">SUMIFS(Loan_Register!$G$5:$G$28,Loan_Register!$K$5:$K$28,3,Loan_Register!$L$5:$L$28,9)</f>
        <v>0</v>
      </c>
      <c r="K19" s="41" t="n">
        <f aca="false">SUM(B19:J19)</f>
        <v>33620000</v>
      </c>
    </row>
    <row r="20" customFormat="false" ht="15" hidden="false" customHeight="false" outlineLevel="0" collapsed="false">
      <c r="A20" s="6" t="s">
        <v>285</v>
      </c>
      <c r="B20" s="40" t="n">
        <f aca="false">SUMIFS(Loan_Register!$G$5:$G$28,Loan_Register!$K$5:$K$28,4,Loan_Register!$L$5:$L$28,1)</f>
        <v>0</v>
      </c>
      <c r="C20" s="40" t="n">
        <f aca="false">SUMIFS(Loan_Register!$G$5:$G$28,Loan_Register!$K$5:$K$28,4,Loan_Register!$L$5:$L$28,2)</f>
        <v>0</v>
      </c>
      <c r="D20" s="40" t="n">
        <f aca="false">SUMIFS(Loan_Register!$G$5:$G$28,Loan_Register!$K$5:$K$28,4,Loan_Register!$L$5:$L$28,3)</f>
        <v>3000000</v>
      </c>
      <c r="E20" s="39" t="n">
        <f aca="false">SUMIFS(Loan_Register!$G$5:$G$28,Loan_Register!$K$5:$K$28,4,Loan_Register!$L$5:$L$28,4)</f>
        <v>24620000</v>
      </c>
      <c r="F20" s="40" t="n">
        <f aca="false">SUMIFS(Loan_Register!$G$5:$G$28,Loan_Register!$K$5:$K$28,4,Loan_Register!$L$5:$L$28,5)</f>
        <v>18900000</v>
      </c>
      <c r="G20" s="40" t="n">
        <f aca="false">SUMIFS(Loan_Register!$G$5:$G$28,Loan_Register!$K$5:$K$28,4,Loan_Register!$L$5:$L$28,6)</f>
        <v>0</v>
      </c>
      <c r="H20" s="40" t="n">
        <f aca="false">SUMIFS(Loan_Register!$G$5:$G$28,Loan_Register!$K$5:$K$28,4,Loan_Register!$L$5:$L$28,7)</f>
        <v>0</v>
      </c>
      <c r="I20" s="40" t="n">
        <f aca="false">SUMIFS(Loan_Register!$G$5:$G$28,Loan_Register!$K$5:$K$28,4,Loan_Register!$L$5:$L$28,8)</f>
        <v>0</v>
      </c>
      <c r="J20" s="40" t="n">
        <f aca="false">SUMIFS(Loan_Register!$G$5:$G$28,Loan_Register!$K$5:$K$28,4,Loan_Register!$L$5:$L$28,9)</f>
        <v>0</v>
      </c>
      <c r="K20" s="41" t="n">
        <f aca="false">SUM(B20:J20)</f>
        <v>46520000</v>
      </c>
    </row>
    <row r="21" customFormat="false" ht="15" hidden="false" customHeight="false" outlineLevel="0" collapsed="false">
      <c r="A21" s="6" t="s">
        <v>286</v>
      </c>
      <c r="B21" s="40" t="n">
        <f aca="false">SUMIFS(Loan_Register!$G$5:$G$28,Loan_Register!$K$5:$K$28,5,Loan_Register!$L$5:$L$28,1)</f>
        <v>0</v>
      </c>
      <c r="C21" s="40" t="n">
        <f aca="false">SUMIFS(Loan_Register!$G$5:$G$28,Loan_Register!$K$5:$K$28,5,Loan_Register!$L$5:$L$28,2)</f>
        <v>0</v>
      </c>
      <c r="D21" s="40" t="n">
        <f aca="false">SUMIFS(Loan_Register!$G$5:$G$28,Loan_Register!$K$5:$K$28,5,Loan_Register!$L$5:$L$28,3)</f>
        <v>0</v>
      </c>
      <c r="E21" s="40" t="n">
        <f aca="false">SUMIFS(Loan_Register!$G$5:$G$28,Loan_Register!$K$5:$K$28,5,Loan_Register!$L$5:$L$28,4)</f>
        <v>0</v>
      </c>
      <c r="F21" s="39" t="n">
        <f aca="false">SUMIFS(Loan_Register!$G$5:$G$28,Loan_Register!$K$5:$K$28,5,Loan_Register!$L$5:$L$28,5)</f>
        <v>2200000</v>
      </c>
      <c r="G21" s="40" t="n">
        <f aca="false">SUMIFS(Loan_Register!$G$5:$G$28,Loan_Register!$K$5:$K$28,5,Loan_Register!$L$5:$L$28,6)</f>
        <v>7950000</v>
      </c>
      <c r="H21" s="40" t="n">
        <f aca="false">SUMIFS(Loan_Register!$G$5:$G$28,Loan_Register!$K$5:$K$28,5,Loan_Register!$L$5:$L$28,7)</f>
        <v>11200000</v>
      </c>
      <c r="I21" s="40" t="n">
        <f aca="false">SUMIFS(Loan_Register!$G$5:$G$28,Loan_Register!$K$5:$K$28,5,Loan_Register!$L$5:$L$28,8)</f>
        <v>0</v>
      </c>
      <c r="J21" s="40" t="n">
        <f aca="false">SUMIFS(Loan_Register!$G$5:$G$28,Loan_Register!$K$5:$K$28,5,Loan_Register!$L$5:$L$28,9)</f>
        <v>0</v>
      </c>
      <c r="K21" s="41" t="n">
        <f aca="false">SUM(B21:J21)</f>
        <v>21350000</v>
      </c>
    </row>
    <row r="22" customFormat="false" ht="15" hidden="false" customHeight="false" outlineLevel="0" collapsed="false">
      <c r="A22" s="6" t="s">
        <v>287</v>
      </c>
      <c r="B22" s="40" t="n">
        <f aca="false">SUMIFS(Loan_Register!$G$5:$G$28,Loan_Register!$K$5:$K$28,6,Loan_Register!$L$5:$L$28,1)</f>
        <v>0</v>
      </c>
      <c r="C22" s="40" t="n">
        <f aca="false">SUMIFS(Loan_Register!$G$5:$G$28,Loan_Register!$K$5:$K$28,6,Loan_Register!$L$5:$L$28,2)</f>
        <v>0</v>
      </c>
      <c r="D22" s="40" t="n">
        <f aca="false">SUMIFS(Loan_Register!$G$5:$G$28,Loan_Register!$K$5:$K$28,6,Loan_Register!$L$5:$L$28,3)</f>
        <v>0</v>
      </c>
      <c r="E22" s="40" t="n">
        <f aca="false">SUMIFS(Loan_Register!$G$5:$G$28,Loan_Register!$K$5:$K$28,6,Loan_Register!$L$5:$L$28,4)</f>
        <v>0</v>
      </c>
      <c r="F22" s="40" t="n">
        <f aca="false">SUMIFS(Loan_Register!$G$5:$G$28,Loan_Register!$K$5:$K$28,6,Loan_Register!$L$5:$L$28,5)</f>
        <v>8800000</v>
      </c>
      <c r="G22" s="39" t="n">
        <f aca="false">SUMIFS(Loan_Register!$G$5:$G$28,Loan_Register!$K$5:$K$28,6,Loan_Register!$L$5:$L$28,6)</f>
        <v>0</v>
      </c>
      <c r="H22" s="40" t="n">
        <f aca="false">SUMIFS(Loan_Register!$G$5:$G$28,Loan_Register!$K$5:$K$28,6,Loan_Register!$L$5:$L$28,7)</f>
        <v>0</v>
      </c>
      <c r="I22" s="40" t="n">
        <f aca="false">SUMIFS(Loan_Register!$G$5:$G$28,Loan_Register!$K$5:$K$28,6,Loan_Register!$L$5:$L$28,8)</f>
        <v>2050000</v>
      </c>
      <c r="J22" s="40" t="n">
        <f aca="false">SUMIFS(Loan_Register!$G$5:$G$28,Loan_Register!$K$5:$K$28,6,Loan_Register!$L$5:$L$28,9)</f>
        <v>0</v>
      </c>
      <c r="K22" s="41" t="n">
        <f aca="false">SUM(B22:J22)</f>
        <v>10850000</v>
      </c>
    </row>
    <row r="23" customFormat="false" ht="15" hidden="false" customHeight="false" outlineLevel="0" collapsed="false">
      <c r="A23" s="6" t="s">
        <v>288</v>
      </c>
      <c r="B23" s="40" t="n">
        <f aca="false">SUMIFS(Loan_Register!$G$5:$G$28,Loan_Register!$K$5:$K$28,7,Loan_Register!$L$5:$L$28,1)</f>
        <v>0</v>
      </c>
      <c r="C23" s="40" t="n">
        <f aca="false">SUMIFS(Loan_Register!$G$5:$G$28,Loan_Register!$K$5:$K$28,7,Loan_Register!$L$5:$L$28,2)</f>
        <v>0</v>
      </c>
      <c r="D23" s="40" t="n">
        <f aca="false">SUMIFS(Loan_Register!$G$5:$G$28,Loan_Register!$K$5:$K$28,7,Loan_Register!$L$5:$L$28,3)</f>
        <v>0</v>
      </c>
      <c r="E23" s="40" t="n">
        <f aca="false">SUMIFS(Loan_Register!$G$5:$G$28,Loan_Register!$K$5:$K$28,7,Loan_Register!$L$5:$L$28,4)</f>
        <v>0</v>
      </c>
      <c r="F23" s="40" t="n">
        <f aca="false">SUMIFS(Loan_Register!$G$5:$G$28,Loan_Register!$K$5:$K$28,7,Loan_Register!$L$5:$L$28,5)</f>
        <v>0</v>
      </c>
      <c r="G23" s="40" t="n">
        <f aca="false">SUMIFS(Loan_Register!$G$5:$G$28,Loan_Register!$K$5:$K$28,7,Loan_Register!$L$5:$L$28,6)</f>
        <v>0</v>
      </c>
      <c r="H23" s="39" t="n">
        <f aca="false">SUMIFS(Loan_Register!$G$5:$G$28,Loan_Register!$K$5:$K$28,7,Loan_Register!$L$5:$L$28,7)</f>
        <v>0</v>
      </c>
      <c r="I23" s="40" t="n">
        <f aca="false">SUMIFS(Loan_Register!$G$5:$G$28,Loan_Register!$K$5:$K$28,7,Loan_Register!$L$5:$L$28,8)</f>
        <v>0</v>
      </c>
      <c r="J23" s="40" t="n">
        <f aca="false">SUMIFS(Loan_Register!$G$5:$G$28,Loan_Register!$K$5:$K$28,7,Loan_Register!$L$5:$L$28,9)</f>
        <v>0</v>
      </c>
      <c r="K23" s="41" t="n">
        <f aca="false">SUM(B23:J23)</f>
        <v>0</v>
      </c>
    </row>
    <row r="24" customFormat="false" ht="15" hidden="false" customHeight="false" outlineLevel="0" collapsed="false">
      <c r="A24" s="6" t="s">
        <v>289</v>
      </c>
      <c r="B24" s="40" t="n">
        <f aca="false">SUMIFS(Loan_Register!$G$5:$G$28,Loan_Register!$K$5:$K$28,8,Loan_Register!$L$5:$L$28,1)</f>
        <v>0</v>
      </c>
      <c r="C24" s="40" t="n">
        <f aca="false">SUMIFS(Loan_Register!$G$5:$G$28,Loan_Register!$K$5:$K$28,8,Loan_Register!$L$5:$L$28,2)</f>
        <v>0</v>
      </c>
      <c r="D24" s="40" t="n">
        <f aca="false">SUMIFS(Loan_Register!$G$5:$G$28,Loan_Register!$K$5:$K$28,8,Loan_Register!$L$5:$L$28,3)</f>
        <v>0</v>
      </c>
      <c r="E24" s="40" t="n">
        <f aca="false">SUMIFS(Loan_Register!$G$5:$G$28,Loan_Register!$K$5:$K$28,8,Loan_Register!$L$5:$L$28,4)</f>
        <v>0</v>
      </c>
      <c r="F24" s="40" t="n">
        <f aca="false">SUMIFS(Loan_Register!$G$5:$G$28,Loan_Register!$K$5:$K$28,8,Loan_Register!$L$5:$L$28,5)</f>
        <v>0</v>
      </c>
      <c r="G24" s="40" t="n">
        <f aca="false">SUMIFS(Loan_Register!$G$5:$G$28,Loan_Register!$K$5:$K$28,8,Loan_Register!$L$5:$L$28,6)</f>
        <v>0</v>
      </c>
      <c r="H24" s="40" t="n">
        <f aca="false">SUMIFS(Loan_Register!$G$5:$G$28,Loan_Register!$K$5:$K$28,8,Loan_Register!$L$5:$L$28,7)</f>
        <v>0</v>
      </c>
      <c r="I24" s="39" t="n">
        <f aca="false">SUMIFS(Loan_Register!$G$5:$G$28,Loan_Register!$K$5:$K$28,8,Loan_Register!$L$5:$L$28,8)</f>
        <v>0</v>
      </c>
      <c r="J24" s="40" t="n">
        <f aca="false">SUMIFS(Loan_Register!$G$5:$G$28,Loan_Register!$K$5:$K$28,8,Loan_Register!$L$5:$L$28,9)</f>
        <v>0</v>
      </c>
      <c r="K24" s="41" t="n">
        <f aca="false">SUM(B24:J24)</f>
        <v>0</v>
      </c>
    </row>
    <row r="25" customFormat="false" ht="15" hidden="false" customHeight="false" outlineLevel="0" collapsed="false">
      <c r="A25" s="6" t="s">
        <v>290</v>
      </c>
      <c r="B25" s="40" t="n">
        <f aca="false">SUMIFS(Loan_Register!$G$5:$G$28,Loan_Register!$K$5:$K$28,9,Loan_Register!$L$5:$L$28,1)</f>
        <v>0</v>
      </c>
      <c r="C25" s="40" t="n">
        <f aca="false">SUMIFS(Loan_Register!$G$5:$G$28,Loan_Register!$K$5:$K$28,9,Loan_Register!$L$5:$L$28,2)</f>
        <v>0</v>
      </c>
      <c r="D25" s="40" t="n">
        <f aca="false">SUMIFS(Loan_Register!$G$5:$G$28,Loan_Register!$K$5:$K$28,9,Loan_Register!$L$5:$L$28,3)</f>
        <v>0</v>
      </c>
      <c r="E25" s="40" t="n">
        <f aca="false">SUMIFS(Loan_Register!$G$5:$G$28,Loan_Register!$K$5:$K$28,9,Loan_Register!$L$5:$L$28,4)</f>
        <v>0</v>
      </c>
      <c r="F25" s="40" t="n">
        <f aca="false">SUMIFS(Loan_Register!$G$5:$G$28,Loan_Register!$K$5:$K$28,9,Loan_Register!$L$5:$L$28,5)</f>
        <v>0</v>
      </c>
      <c r="G25" s="40" t="n">
        <f aca="false">SUMIFS(Loan_Register!$G$5:$G$28,Loan_Register!$K$5:$K$28,9,Loan_Register!$L$5:$L$28,6)</f>
        <v>0</v>
      </c>
      <c r="H25" s="40" t="n">
        <f aca="false">SUMIFS(Loan_Register!$G$5:$G$28,Loan_Register!$K$5:$K$28,9,Loan_Register!$L$5:$L$28,7)</f>
        <v>0</v>
      </c>
      <c r="I25" s="40" t="n">
        <f aca="false">SUMIFS(Loan_Register!$G$5:$G$28,Loan_Register!$K$5:$K$28,9,Loan_Register!$L$5:$L$28,8)</f>
        <v>0</v>
      </c>
      <c r="J25" s="39" t="n">
        <f aca="false">SUMIFS(Loan_Register!$G$5:$G$28,Loan_Register!$K$5:$K$28,9,Loan_Register!$L$5:$L$28,9)</f>
        <v>0</v>
      </c>
      <c r="K25" s="41" t="n">
        <f aca="false">SUM(B25:J25)</f>
        <v>0</v>
      </c>
    </row>
    <row r="26" customFormat="false" ht="15" hidden="false" customHeight="false" outlineLevel="0" collapsed="false">
      <c r="A26" s="6" t="s">
        <v>281</v>
      </c>
      <c r="B26" s="22" t="n">
        <f aca="false">SUM(B17:B25)</f>
        <v>0</v>
      </c>
      <c r="C26" s="22" t="n">
        <f aca="false">SUM(C17:C25)</f>
        <v>1600000</v>
      </c>
      <c r="D26" s="22" t="n">
        <f aca="false">SUM(D17:D25)</f>
        <v>36620000</v>
      </c>
      <c r="E26" s="22" t="n">
        <f aca="false">SUM(E17:E25)</f>
        <v>24620000</v>
      </c>
      <c r="F26" s="22" t="n">
        <f aca="false">SUM(F17:F25)</f>
        <v>29900000</v>
      </c>
      <c r="G26" s="22" t="n">
        <f aca="false">SUM(G17:G25)</f>
        <v>7950000</v>
      </c>
      <c r="H26" s="22" t="n">
        <f aca="false">SUM(H17:H25)</f>
        <v>11200000</v>
      </c>
      <c r="I26" s="22" t="n">
        <f aca="false">SUM(I17:I25)</f>
        <v>2050000</v>
      </c>
      <c r="J26" s="22" t="n">
        <f aca="false">SUM(J17:J25)</f>
        <v>0</v>
      </c>
      <c r="K26" s="22" t="n">
        <f aca="false">SUM(K17:K25)</f>
        <v>113940000</v>
      </c>
    </row>
    <row r="28" customFormat="false" ht="30" hidden="false" customHeight="true" outlineLevel="0" collapsed="false">
      <c r="A28" s="5" t="s">
        <v>292</v>
      </c>
      <c r="B28" s="5" t="s">
        <v>239</v>
      </c>
      <c r="C28" s="5" t="s">
        <v>105</v>
      </c>
    </row>
    <row r="29" customFormat="false" ht="15" hidden="false" customHeight="false" outlineLevel="0" collapsed="false">
      <c r="A29" s="6" t="s">
        <v>293</v>
      </c>
      <c r="B29" s="42" t="n">
        <f aca="false">SUMPRODUCT((Loan_Register!$L$5:$L$28&lt;Loan_Register!$K$5:$K$28)*1)</f>
        <v>2</v>
      </c>
      <c r="C29" s="28" t="n">
        <f aca="false">SUMPRODUCT((Loan_Register!$L$5:$L$28&lt;Loan_Register!$K$5:$K$28)*Loan_Register!$G$5:$G$28)</f>
        <v>11800000</v>
      </c>
    </row>
    <row r="30" customFormat="false" ht="15" hidden="false" customHeight="false" outlineLevel="0" collapsed="false">
      <c r="A30" s="6" t="s">
        <v>294</v>
      </c>
      <c r="B30" s="42" t="n">
        <f aca="false">SUMPRODUCT((Loan_Register!$L$5:$L$28=Loan_Register!$K$5:$K$28)*1)</f>
        <v>17</v>
      </c>
      <c r="C30" s="28" t="n">
        <f aca="false">SUMPRODUCT((Loan_Register!$L$5:$L$28=Loan_Register!$K$5:$K$28)*Loan_Register!$G$5:$G$28)</f>
        <v>62040000</v>
      </c>
    </row>
    <row r="31" customFormat="false" ht="15" hidden="false" customHeight="false" outlineLevel="0" collapsed="false">
      <c r="A31" s="6" t="s">
        <v>295</v>
      </c>
      <c r="B31" s="42" t="n">
        <f aca="false">SUMPRODUCT((Loan_Register!$L$5:$L$28&gt;Loan_Register!$K$5:$K$28)*1)</f>
        <v>5</v>
      </c>
      <c r="C31" s="28" t="n">
        <f aca="false">SUMPRODUCT((Loan_Register!$L$5:$L$28&gt;Loan_Register!$K$5:$K$28)*Loan_Register!$G$5:$G$28)</f>
        <v>40100000</v>
      </c>
    </row>
    <row r="33" customFormat="false" ht="30" hidden="false" customHeight="true" outlineLevel="0" collapsed="false">
      <c r="A33" s="5" t="s">
        <v>296</v>
      </c>
      <c r="B33" s="5" t="s">
        <v>297</v>
      </c>
      <c r="C33" s="5" t="s">
        <v>298</v>
      </c>
      <c r="D33" s="5" t="s">
        <v>299</v>
      </c>
    </row>
    <row r="34" customFormat="false" ht="15" hidden="false" customHeight="false" outlineLevel="0" collapsed="false">
      <c r="A34" s="6" t="s">
        <v>300</v>
      </c>
      <c r="B34" s="43" t="n">
        <f aca="false">SUMPRODUCT(Loan_Register!$K$5:$K$28,Loan_Register!$G$5:$G$28)/SUM(Loan_Register!$G$5:$G$28)</f>
        <v>4.05467790064946</v>
      </c>
      <c r="C34" s="44" t="n">
        <f aca="false">SUMPRODUCT(Loan_Register!$L$5:$L$28,Loan_Register!$G$5:$G$28)/SUM(Loan_Register!$G$5:$G$28)</f>
        <v>4.41934351413024</v>
      </c>
      <c r="D34" s="45" t="n">
        <f aca="false">C34-B34</f>
        <v>0.36466561348078</v>
      </c>
    </row>
    <row r="35" customFormat="false" ht="15" hidden="false" customHeight="false" outlineLevel="0" collapsed="false">
      <c r="A35" s="6" t="s">
        <v>301</v>
      </c>
      <c r="B35" s="28" t="n">
        <f aca="false">SUMIF(Loan_Register!$K$5:$K$28,"&gt;=7",Loan_Register!$G$5:$G$28)</f>
        <v>0</v>
      </c>
      <c r="C35" s="46" t="n">
        <f aca="false">SUMIF(Loan_Register!$L$5:$L$28,"&gt;=7",Loan_Register!$G$5:$G$28)</f>
        <v>13250000</v>
      </c>
      <c r="D35" s="32" t="n">
        <f aca="false">C35-B35</f>
        <v>13250000</v>
      </c>
    </row>
    <row r="36" customFormat="false" ht="15" hidden="false" customHeight="false" outlineLevel="0" collapsed="false">
      <c r="A36" s="6" t="s">
        <v>302</v>
      </c>
      <c r="B36" s="28" t="n">
        <f aca="false">SUMIF(Loan_Register!$K$5:$K$28,"&gt;=8",Loan_Register!$G$5:$G$28)</f>
        <v>0</v>
      </c>
      <c r="C36" s="46" t="n">
        <f aca="false">SUMIF(Loan_Register!$L$5:$L$28,"&gt;=8",Loan_Register!$G$5:$G$28)</f>
        <v>2050000</v>
      </c>
      <c r="D36" s="32" t="n">
        <f aca="false">C36-B36</f>
        <v>2050000</v>
      </c>
    </row>
    <row r="37" customFormat="false" ht="15" hidden="false" customHeight="false" outlineLevel="0" collapsed="false">
      <c r="A37" s="6" t="s">
        <v>303</v>
      </c>
      <c r="B37" s="27" t="n">
        <f aca="false">B35/SUM(Loan_Register!$G$5:$G$28)</f>
        <v>0</v>
      </c>
      <c r="C37" s="34" t="n">
        <f aca="false">C35/SUM(Loan_Register!$G$5:$G$28)</f>
        <v>0.116289275057048</v>
      </c>
      <c r="D37" s="24" t="n">
        <f aca="false">C37-B37</f>
        <v>0.116289275057048</v>
      </c>
    </row>
    <row r="38" customFormat="false" ht="15" hidden="false" customHeight="false" outlineLevel="0" collapsed="false">
      <c r="A38" s="6" t="s">
        <v>304</v>
      </c>
      <c r="B38" s="28" t="n">
        <f aca="false">SUMIF(Loan_Register!$K$5:$K$28,"&gt;=6",Loan_Register!$G$5:$G$28)</f>
        <v>10850000</v>
      </c>
      <c r="C38" s="46" t="n">
        <f aca="false">SUMIF(Loan_Register!$L$5:$L$28,"&gt;=6",Loan_Register!$G$5:$G$28)</f>
        <v>21200000</v>
      </c>
      <c r="D38" s="32" t="n">
        <f aca="false">C38-B38</f>
        <v>10350000</v>
      </c>
    </row>
    <row r="39" customFormat="false" ht="15" hidden="false" customHeight="false" outlineLevel="0" collapsed="false">
      <c r="A39" s="3" t="s">
        <v>305</v>
      </c>
    </row>
  </sheetData>
  <conditionalFormatting sqref="B5:J13">
    <cfRule type="expression" priority="2" aboveAverage="0" equalAverage="0" bottom="0" percent="0" rank="0" text="" dxfId="0">
      <formula>AND(COLUMN(B5)-1&gt;ROW(B5)-4,B5&lt;&gt;0)</formula>
    </cfRule>
    <cfRule type="expression" priority="3" aboveAverage="0" equalAverage="0" bottom="0" percent="0" rank="0" text="" dxfId="3">
      <formula>AND(COLUMN(B5)-1&lt;ROW(B5)-4,B5&lt;&gt;0)</formula>
    </cfRule>
  </conditionalFormatting>
  <conditionalFormatting sqref="B17:J25">
    <cfRule type="expression" priority="4" aboveAverage="0" equalAverage="0" bottom="0" percent="0" rank="0" text="" dxfId="0">
      <formula>AND(COLUMN(B17)-1&gt;ROW(B17)-16,B17&lt;&gt;0)</formula>
    </cfRule>
    <cfRule type="expression" priority="5" aboveAverage="0" equalAverage="0" bottom="0" percent="0" rank="0" text="" dxfId="3">
      <formula>AND(COLUMN(B17)-1&lt;ROW(B17)-16,B17&lt;&gt;0)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4" min="3" style="0" width="15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0" t="s">
        <v>306</v>
      </c>
    </row>
    <row r="2" customFormat="false" ht="15" hidden="false" customHeight="false" outlineLevel="0" collapsed="false">
      <c r="A2" s="3" t="s">
        <v>307</v>
      </c>
    </row>
    <row r="4" customFormat="false" ht="30" hidden="false" customHeight="true" outlineLevel="0" collapsed="false">
      <c r="A4" s="5" t="s">
        <v>101</v>
      </c>
      <c r="B4" s="5" t="s">
        <v>239</v>
      </c>
      <c r="C4" s="5" t="s">
        <v>104</v>
      </c>
      <c r="D4" s="5" t="s">
        <v>105</v>
      </c>
      <c r="E4" s="5" t="s">
        <v>308</v>
      </c>
      <c r="F4" s="5" t="s">
        <v>75</v>
      </c>
      <c r="G4" s="5" t="s">
        <v>309</v>
      </c>
    </row>
    <row r="5" customFormat="false" ht="15" hidden="false" customHeight="false" outlineLevel="0" collapsed="false">
      <c r="A5" s="6" t="s">
        <v>138</v>
      </c>
      <c r="B5" s="42" t="n">
        <f aca="false">COUNTIF(Loan_Register!$C$5:$C$28,A5)</f>
        <v>8</v>
      </c>
      <c r="C5" s="28" t="n">
        <f aca="false">SUMIF(Loan_Register!$C$5:$C$28,A5,Loan_Register!$F$5:$F$28)</f>
        <v>71600000</v>
      </c>
      <c r="D5" s="28" t="n">
        <f aca="false">SUMIF(Loan_Register!$C$5:$C$28,A5,Loan_Register!$G$5:$G$28)</f>
        <v>69370000</v>
      </c>
      <c r="E5" s="27" t="n">
        <f aca="false">C5/SUM(Loan_Register!$F$5:$F$28)</f>
        <v>0.570790816326531</v>
      </c>
      <c r="F5" s="27" t="n">
        <f aca="false">Settings!$B$30</f>
        <v>0.6</v>
      </c>
      <c r="G5" s="25" t="str">
        <f aca="false">IF(E5&gt;F5,"Over limit",IF(E5&gt;F5*Settings!$B$34,"Near limit","Within limit"))</f>
        <v>Near limit</v>
      </c>
    </row>
    <row r="6" customFormat="false" ht="15" hidden="false" customHeight="false" outlineLevel="0" collapsed="false">
      <c r="A6" s="6" t="s">
        <v>128</v>
      </c>
      <c r="B6" s="42" t="n">
        <f aca="false">COUNTIF(Loan_Register!$C$5:$C$28,A6)</f>
        <v>16</v>
      </c>
      <c r="C6" s="28" t="n">
        <f aca="false">SUMIF(Loan_Register!$C$5:$C$28,A6,Loan_Register!$F$5:$F$28)</f>
        <v>53840000</v>
      </c>
      <c r="D6" s="28" t="n">
        <f aca="false">SUMIF(Loan_Register!$C$5:$C$28,A6,Loan_Register!$G$5:$G$28)</f>
        <v>44570000</v>
      </c>
      <c r="E6" s="27" t="n">
        <f aca="false">C6/SUM(Loan_Register!$F$5:$F$28)</f>
        <v>0.429209183673469</v>
      </c>
    </row>
    <row r="7" customFormat="false" ht="15" hidden="false" customHeight="false" outlineLevel="0" collapsed="false">
      <c r="A7" s="6" t="s">
        <v>281</v>
      </c>
      <c r="B7" s="47" t="n">
        <f aca="false">SUM(B5:B6)</f>
        <v>24</v>
      </c>
      <c r="C7" s="22" t="n">
        <f aca="false">SUM(C5:C6)</f>
        <v>125440000</v>
      </c>
      <c r="D7" s="22" t="n">
        <f aca="false">SUM(D5:D6)</f>
        <v>113940000</v>
      </c>
      <c r="E7" s="48" t="n">
        <f aca="false">SUM(E5:E6)</f>
        <v>1</v>
      </c>
    </row>
    <row r="9" customFormat="false" ht="30" hidden="false" customHeight="true" outlineLevel="0" collapsed="false">
      <c r="A9" s="5" t="s">
        <v>310</v>
      </c>
      <c r="B9" s="5" t="s">
        <v>239</v>
      </c>
      <c r="C9" s="5" t="s">
        <v>104</v>
      </c>
      <c r="D9" s="5" t="s">
        <v>105</v>
      </c>
      <c r="E9" s="5" t="s">
        <v>308</v>
      </c>
      <c r="F9" s="5" t="s">
        <v>75</v>
      </c>
      <c r="G9" s="5" t="s">
        <v>309</v>
      </c>
    </row>
    <row r="10" customFormat="false" ht="15" hidden="false" customHeight="false" outlineLevel="0" collapsed="false">
      <c r="A10" s="7" t="s">
        <v>156</v>
      </c>
      <c r="B10" s="42" t="n">
        <f aca="false">COUNTIF(Loan_Register!$D$5:$D$28,A10)</f>
        <v>1</v>
      </c>
      <c r="C10" s="28" t="n">
        <f aca="false">SUMIF(Loan_Register!$D$5:$D$28,A10,Loan_Register!$F$5:$F$28)</f>
        <v>8200000</v>
      </c>
      <c r="D10" s="28" t="n">
        <f aca="false">SUMIF(Loan_Register!$D$5:$D$28,A10,Loan_Register!$G$5:$G$28)</f>
        <v>7950000</v>
      </c>
      <c r="E10" s="27" t="n">
        <f aca="false">C10/SUM(Loan_Register!$F$5:$F$28)</f>
        <v>0.0653698979591837</v>
      </c>
      <c r="F10" s="27" t="n">
        <f aca="false">Settings!$B$31</f>
        <v>0.15</v>
      </c>
      <c r="G10" s="25" t="str">
        <f aca="false">IF(E10&gt;F10,"Over limit",IF(E10&gt;F10*Settings!$B$34,"Near limit","Within limit"))</f>
        <v>Within limit</v>
      </c>
    </row>
    <row r="11" customFormat="false" ht="15" hidden="false" customHeight="false" outlineLevel="0" collapsed="false">
      <c r="A11" s="7" t="s">
        <v>139</v>
      </c>
      <c r="B11" s="42" t="n">
        <f aca="false">COUNTIF(Loan_Register!$D$5:$D$28,A11)</f>
        <v>2</v>
      </c>
      <c r="C11" s="28" t="n">
        <f aca="false">SUMIF(Loan_Register!$D$5:$D$28,A11,Loan_Register!$F$5:$F$28)</f>
        <v>14700000</v>
      </c>
      <c r="D11" s="28" t="n">
        <f aca="false">SUMIF(Loan_Register!$D$5:$D$28,A11,Loan_Register!$G$5:$G$28)</f>
        <v>14120000</v>
      </c>
      <c r="E11" s="27" t="n">
        <f aca="false">C11/SUM(Loan_Register!$F$5:$F$28)</f>
        <v>0.1171875</v>
      </c>
      <c r="F11" s="27" t="n">
        <f aca="false">Settings!$B$31</f>
        <v>0.15</v>
      </c>
      <c r="G11" s="25" t="str">
        <f aca="false">IF(E11&gt;F11,"Over limit",IF(E11&gt;F11*Settings!$B$34,"Near limit","Within limit"))</f>
        <v>Within limit</v>
      </c>
    </row>
    <row r="12" customFormat="false" ht="15" hidden="false" customHeight="false" outlineLevel="0" collapsed="false">
      <c r="A12" s="7" t="s">
        <v>152</v>
      </c>
      <c r="B12" s="42" t="n">
        <f aca="false">COUNTIF(Loan_Register!$D$5:$D$28,A12)</f>
        <v>1</v>
      </c>
      <c r="C12" s="28" t="n">
        <f aca="false">SUMIF(Loan_Register!$D$5:$D$28,A12,Loan_Register!$F$5:$F$28)</f>
        <v>14000000</v>
      </c>
      <c r="D12" s="28" t="n">
        <f aca="false">SUMIF(Loan_Register!$D$5:$D$28,A12,Loan_Register!$G$5:$G$28)</f>
        <v>13700000</v>
      </c>
      <c r="E12" s="27" t="n">
        <f aca="false">C12/SUM(Loan_Register!$F$5:$F$28)</f>
        <v>0.111607142857143</v>
      </c>
      <c r="F12" s="27" t="n">
        <f aca="false">Settings!$B$31</f>
        <v>0.15</v>
      </c>
      <c r="G12" s="25" t="str">
        <f aca="false">IF(E12&gt;F12,"Over limit",IF(E12&gt;F12*Settings!$B$34,"Near limit","Within limit"))</f>
        <v>Within limit</v>
      </c>
    </row>
    <row r="13" customFormat="false" ht="15" hidden="false" customHeight="false" outlineLevel="0" collapsed="false">
      <c r="A13" s="7" t="s">
        <v>176</v>
      </c>
      <c r="B13" s="42" t="n">
        <f aca="false">COUNTIF(Loan_Register!$D$5:$D$28,A13)</f>
        <v>1</v>
      </c>
      <c r="C13" s="28" t="n">
        <f aca="false">SUMIF(Loan_Register!$D$5:$D$28,A13,Loan_Register!$F$5:$F$28)</f>
        <v>11500000</v>
      </c>
      <c r="D13" s="28" t="n">
        <f aca="false">SUMIF(Loan_Register!$D$5:$D$28,A13,Loan_Register!$G$5:$G$28)</f>
        <v>11200000</v>
      </c>
      <c r="E13" s="27" t="n">
        <f aca="false">C13/SUM(Loan_Register!$F$5:$F$28)</f>
        <v>0.0916772959183674</v>
      </c>
      <c r="F13" s="27" t="n">
        <f aca="false">Settings!$B$31</f>
        <v>0.15</v>
      </c>
      <c r="G13" s="25" t="str">
        <f aca="false">IF(E13&gt;F13,"Over limit",IF(E13&gt;F13*Settings!$B$34,"Near limit","Within limit"))</f>
        <v>Within limit</v>
      </c>
    </row>
    <row r="14" customFormat="false" ht="15" hidden="false" customHeight="false" outlineLevel="0" collapsed="false">
      <c r="A14" s="7" t="s">
        <v>185</v>
      </c>
      <c r="B14" s="42" t="n">
        <f aca="false">COUNTIF(Loan_Register!$D$5:$D$28,A14)</f>
        <v>1</v>
      </c>
      <c r="C14" s="28" t="n">
        <f aca="false">SUMIF(Loan_Register!$D$5:$D$28,A14,Loan_Register!$F$5:$F$28)</f>
        <v>7800000</v>
      </c>
      <c r="D14" s="28" t="n">
        <f aca="false">SUMIF(Loan_Register!$D$5:$D$28,A14,Loan_Register!$G$5:$G$28)</f>
        <v>7400000</v>
      </c>
      <c r="E14" s="27" t="n">
        <f aca="false">C14/SUM(Loan_Register!$F$5:$F$28)</f>
        <v>0.0621811224489796</v>
      </c>
      <c r="F14" s="27" t="n">
        <f aca="false">Settings!$B$31</f>
        <v>0.15</v>
      </c>
      <c r="G14" s="25" t="str">
        <f aca="false">IF(E14&gt;F14,"Over limit",IF(E14&gt;F14*Settings!$B$34,"Near limit","Within limit"))</f>
        <v>Within limit</v>
      </c>
    </row>
    <row r="15" customFormat="false" ht="15" hidden="false" customHeight="false" outlineLevel="0" collapsed="false">
      <c r="A15" s="7" t="s">
        <v>202</v>
      </c>
      <c r="B15" s="42" t="n">
        <f aca="false">COUNTIF(Loan_Register!$D$5:$D$28,A15)</f>
        <v>1</v>
      </c>
      <c r="C15" s="28" t="n">
        <f aca="false">SUMIF(Loan_Register!$D$5:$D$28,A15,Loan_Register!$F$5:$F$28)</f>
        <v>6400000</v>
      </c>
      <c r="D15" s="28" t="n">
        <f aca="false">SUMIF(Loan_Register!$D$5:$D$28,A15,Loan_Register!$G$5:$G$28)</f>
        <v>6200000</v>
      </c>
      <c r="E15" s="27" t="n">
        <f aca="false">C15/SUM(Loan_Register!$F$5:$F$28)</f>
        <v>0.0510204081632653</v>
      </c>
      <c r="F15" s="27" t="n">
        <f aca="false">Settings!$B$31</f>
        <v>0.15</v>
      </c>
      <c r="G15" s="25" t="str">
        <f aca="false">IF(E15&gt;F15,"Over limit",IF(E15&gt;F15*Settings!$B$34,"Near limit","Within limit"))</f>
        <v>Within limit</v>
      </c>
    </row>
    <row r="16" customFormat="false" ht="15" hidden="false" customHeight="false" outlineLevel="0" collapsed="false">
      <c r="A16" s="7" t="s">
        <v>208</v>
      </c>
      <c r="B16" s="42" t="n">
        <f aca="false">COUNTIF(Loan_Register!$D$5:$D$28,A16)</f>
        <v>1</v>
      </c>
      <c r="C16" s="28" t="n">
        <f aca="false">SUMIF(Loan_Register!$D$5:$D$28,A16,Loan_Register!$F$5:$F$28)</f>
        <v>9000000</v>
      </c>
      <c r="D16" s="28" t="n">
        <f aca="false">SUMIF(Loan_Register!$D$5:$D$28,A16,Loan_Register!$G$5:$G$28)</f>
        <v>8800000</v>
      </c>
      <c r="E16" s="27" t="n">
        <f aca="false">C16/SUM(Loan_Register!$F$5:$F$28)</f>
        <v>0.0717474489795918</v>
      </c>
      <c r="F16" s="27" t="n">
        <f aca="false">Settings!$B$31</f>
        <v>0.15</v>
      </c>
      <c r="G16" s="25" t="str">
        <f aca="false">IF(E16&gt;F16,"Over limit",IF(E16&gt;F16*Settings!$B$34,"Near limit","Within limit"))</f>
        <v>Within limit</v>
      </c>
    </row>
    <row r="17" customFormat="false" ht="15" hidden="false" customHeight="false" outlineLevel="0" collapsed="false">
      <c r="A17" s="7" t="s">
        <v>180</v>
      </c>
      <c r="B17" s="42" t="n">
        <f aca="false">COUNTIF(Loan_Register!$D$5:$D$28,A17)</f>
        <v>1</v>
      </c>
      <c r="C17" s="28" t="n">
        <f aca="false">SUMIF(Loan_Register!$D$5:$D$28,A17,Loan_Register!$F$5:$F$28)</f>
        <v>3000000</v>
      </c>
      <c r="D17" s="28" t="n">
        <f aca="false">SUMIF(Loan_Register!$D$5:$D$28,A17,Loan_Register!$G$5:$G$28)</f>
        <v>2100000</v>
      </c>
      <c r="E17" s="27" t="n">
        <f aca="false">C17/SUM(Loan_Register!$F$5:$F$28)</f>
        <v>0.0239158163265306</v>
      </c>
      <c r="F17" s="27" t="n">
        <f aca="false">Settings!$B$32</f>
        <v>0.15</v>
      </c>
      <c r="G17" s="25" t="str">
        <f aca="false">IF(E17&gt;F17,"Over limit",IF(E17&gt;F17*Settings!$B$34,"Near limit","Within limit"))</f>
        <v>Within limit</v>
      </c>
    </row>
    <row r="18" customFormat="false" ht="15" hidden="false" customHeight="false" outlineLevel="0" collapsed="false">
      <c r="A18" s="7" t="s">
        <v>162</v>
      </c>
      <c r="B18" s="42" t="n">
        <f aca="false">COUNTIF(Loan_Register!$D$5:$D$28,A18)</f>
        <v>2</v>
      </c>
      <c r="C18" s="28" t="n">
        <f aca="false">SUMIF(Loan_Register!$D$5:$D$28,A18,Loan_Register!$F$5:$F$28)</f>
        <v>6400000</v>
      </c>
      <c r="D18" s="28" t="n">
        <f aca="false">SUMIF(Loan_Register!$D$5:$D$28,A18,Loan_Register!$G$5:$G$28)</f>
        <v>5540000</v>
      </c>
      <c r="E18" s="27" t="n">
        <f aca="false">C18/SUM(Loan_Register!$F$5:$F$28)</f>
        <v>0.0510204081632653</v>
      </c>
      <c r="F18" s="27" t="n">
        <f aca="false">Settings!$B$32</f>
        <v>0.15</v>
      </c>
      <c r="G18" s="25" t="str">
        <f aca="false">IF(E18&gt;F18,"Over limit",IF(E18&gt;F18*Settings!$B$34,"Near limit","Within limit"))</f>
        <v>Within limit</v>
      </c>
    </row>
    <row r="19" customFormat="false" ht="15" hidden="false" customHeight="false" outlineLevel="0" collapsed="false">
      <c r="A19" s="7" t="s">
        <v>196</v>
      </c>
      <c r="B19" s="42" t="n">
        <f aca="false">COUNTIF(Loan_Register!$D$5:$D$28,A19)</f>
        <v>1</v>
      </c>
      <c r="C19" s="28" t="n">
        <f aca="false">SUMIF(Loan_Register!$D$5:$D$28,A19,Loan_Register!$F$5:$F$28)</f>
        <v>5500000</v>
      </c>
      <c r="D19" s="28" t="n">
        <f aca="false">SUMIF(Loan_Register!$D$5:$D$28,A19,Loan_Register!$G$5:$G$28)</f>
        <v>4600000</v>
      </c>
      <c r="E19" s="27" t="n">
        <f aca="false">C19/SUM(Loan_Register!$F$5:$F$28)</f>
        <v>0.0438456632653061</v>
      </c>
      <c r="F19" s="27" t="n">
        <f aca="false">Settings!$B$32</f>
        <v>0.15</v>
      </c>
      <c r="G19" s="25" t="str">
        <f aca="false">IF(E19&gt;F19,"Over limit",IF(E19&gt;F19*Settings!$B$34,"Near limit","Within limit"))</f>
        <v>Within limit</v>
      </c>
    </row>
    <row r="20" customFormat="false" ht="15" hidden="false" customHeight="false" outlineLevel="0" collapsed="false">
      <c r="A20" s="7" t="s">
        <v>217</v>
      </c>
      <c r="B20" s="42" t="n">
        <f aca="false">COUNTIF(Loan_Register!$D$5:$D$28,A20)</f>
        <v>1</v>
      </c>
      <c r="C20" s="28" t="n">
        <f aca="false">SUMIF(Loan_Register!$D$5:$D$28,A20,Loan_Register!$F$5:$F$28)</f>
        <v>2200000</v>
      </c>
      <c r="D20" s="28" t="n">
        <f aca="false">SUMIF(Loan_Register!$D$5:$D$28,A20,Loan_Register!$G$5:$G$28)</f>
        <v>2050000</v>
      </c>
      <c r="E20" s="27" t="n">
        <f aca="false">C20/SUM(Loan_Register!$F$5:$F$28)</f>
        <v>0.0175382653061224</v>
      </c>
      <c r="F20" s="27" t="n">
        <f aca="false">Settings!$B$32</f>
        <v>0.15</v>
      </c>
      <c r="G20" s="25" t="str">
        <f aca="false">IF(E20&gt;F20,"Over limit",IF(E20&gt;F20*Settings!$B$34,"Near limit","Within limit"))</f>
        <v>Within limit</v>
      </c>
    </row>
    <row r="21" customFormat="false" ht="15" hidden="false" customHeight="false" outlineLevel="0" collapsed="false">
      <c r="A21" s="7" t="s">
        <v>148</v>
      </c>
      <c r="B21" s="42" t="n">
        <f aca="false">COUNTIF(Loan_Register!$D$5:$D$28,A21)</f>
        <v>4</v>
      </c>
      <c r="C21" s="28" t="n">
        <f aca="false">SUMIF(Loan_Register!$D$5:$D$28,A21,Loan_Register!$F$5:$F$28)</f>
        <v>9700000</v>
      </c>
      <c r="D21" s="28" t="n">
        <f aca="false">SUMIF(Loan_Register!$D$5:$D$28,A21,Loan_Register!$G$5:$G$28)</f>
        <v>7500000</v>
      </c>
      <c r="E21" s="27" t="n">
        <f aca="false">C21/SUM(Loan_Register!$F$5:$F$28)</f>
        <v>0.077327806122449</v>
      </c>
      <c r="F21" s="27" t="n">
        <f aca="false">Settings!$B$32</f>
        <v>0.15</v>
      </c>
      <c r="G21" s="25" t="str">
        <f aca="false">IF(E21&gt;F21,"Over limit",IF(E21&gt;F21*Settings!$B$34,"Near limit","Within limit"))</f>
        <v>Within limit</v>
      </c>
    </row>
    <row r="22" customFormat="false" ht="15" hidden="false" customHeight="false" outlineLevel="0" collapsed="false">
      <c r="A22" s="7" t="s">
        <v>129</v>
      </c>
      <c r="B22" s="42" t="n">
        <f aca="false">COUNTIF(Loan_Register!$D$5:$D$28,A22)</f>
        <v>3</v>
      </c>
      <c r="C22" s="28" t="n">
        <f aca="false">SUMIF(Loan_Register!$D$5:$D$28,A22,Loan_Register!$F$5:$F$28)</f>
        <v>9840000</v>
      </c>
      <c r="D22" s="28" t="n">
        <f aca="false">SUMIF(Loan_Register!$D$5:$D$28,A22,Loan_Register!$G$5:$G$28)</f>
        <v>8280000</v>
      </c>
      <c r="E22" s="27" t="n">
        <f aca="false">C22/SUM(Loan_Register!$F$5:$F$28)</f>
        <v>0.0784438775510204</v>
      </c>
      <c r="F22" s="27" t="n">
        <f aca="false">Settings!$B$32</f>
        <v>0.15</v>
      </c>
      <c r="G22" s="25" t="str">
        <f aca="false">IF(E22&gt;F22,"Over limit",IF(E22&gt;F22*Settings!$B$34,"Near limit","Within limit"))</f>
        <v>Within limit</v>
      </c>
    </row>
    <row r="23" customFormat="false" ht="15" hidden="false" customHeight="false" outlineLevel="0" collapsed="false">
      <c r="A23" s="7" t="s">
        <v>191</v>
      </c>
      <c r="B23" s="42" t="n">
        <f aca="false">COUNTIF(Loan_Register!$D$5:$D$28,A23)</f>
        <v>1</v>
      </c>
      <c r="C23" s="28" t="n">
        <f aca="false">SUMIF(Loan_Register!$D$5:$D$28,A23,Loan_Register!$F$5:$F$28)</f>
        <v>2400000</v>
      </c>
      <c r="D23" s="28" t="n">
        <f aca="false">SUMIF(Loan_Register!$D$5:$D$28,A23,Loan_Register!$G$5:$G$28)</f>
        <v>2200000</v>
      </c>
      <c r="E23" s="27" t="n">
        <f aca="false">C23/SUM(Loan_Register!$F$5:$F$28)</f>
        <v>0.0191326530612245</v>
      </c>
      <c r="F23" s="27" t="n">
        <f aca="false">Settings!$B$32</f>
        <v>0.15</v>
      </c>
      <c r="G23" s="25" t="str">
        <f aca="false">IF(E23&gt;F23,"Over limit",IF(E23&gt;F23*Settings!$B$34,"Near limit","Within limit"))</f>
        <v>Within limit</v>
      </c>
    </row>
    <row r="24" customFormat="false" ht="15" hidden="false" customHeight="false" outlineLevel="0" collapsed="false">
      <c r="A24" s="7" t="s">
        <v>168</v>
      </c>
      <c r="B24" s="42" t="n">
        <f aca="false">COUNTIF(Loan_Register!$D$5:$D$28,A24)</f>
        <v>2</v>
      </c>
      <c r="C24" s="28" t="n">
        <f aca="false">SUMIF(Loan_Register!$D$5:$D$28,A24,Loan_Register!$F$5:$F$28)</f>
        <v>10000000</v>
      </c>
      <c r="D24" s="28" t="n">
        <f aca="false">SUMIF(Loan_Register!$D$5:$D$28,A24,Loan_Register!$G$5:$G$28)</f>
        <v>8700000</v>
      </c>
      <c r="E24" s="27" t="n">
        <f aca="false">C24/SUM(Loan_Register!$F$5:$F$28)</f>
        <v>0.079719387755102</v>
      </c>
      <c r="F24" s="27" t="n">
        <f aca="false">Settings!$B$32</f>
        <v>0.15</v>
      </c>
      <c r="G24" s="25" t="str">
        <f aca="false">IF(E24&gt;F24,"Over limit",IF(E24&gt;F24*Settings!$B$34,"Near limit","Within limit"))</f>
        <v>Within limit</v>
      </c>
    </row>
    <row r="25" customFormat="false" ht="15" hidden="false" customHeight="false" outlineLevel="0" collapsed="false">
      <c r="A25" s="7" t="s">
        <v>205</v>
      </c>
      <c r="B25" s="42" t="n">
        <f aca="false">COUNTIF(Loan_Register!$D$5:$D$28,A25)</f>
        <v>1</v>
      </c>
      <c r="C25" s="28" t="n">
        <f aca="false">SUMIF(Loan_Register!$D$5:$D$28,A25,Loan_Register!$F$5:$F$28)</f>
        <v>4800000</v>
      </c>
      <c r="D25" s="28" t="n">
        <f aca="false">SUMIF(Loan_Register!$D$5:$D$28,A25,Loan_Register!$G$5:$G$28)</f>
        <v>3600000</v>
      </c>
      <c r="E25" s="27" t="n">
        <f aca="false">C25/SUM(Loan_Register!$F$5:$F$28)</f>
        <v>0.038265306122449</v>
      </c>
      <c r="F25" s="27" t="n">
        <f aca="false">Settings!$B$32</f>
        <v>0.15</v>
      </c>
      <c r="G25" s="25" t="str">
        <f aca="false">IF(E25&gt;F25,"Over limit",IF(E25&gt;F25*Settings!$B$34,"Near limit","Within limit"))</f>
        <v>Within limit</v>
      </c>
    </row>
    <row r="26" customFormat="false" ht="15" hidden="false" customHeight="false" outlineLevel="0" collapsed="false">
      <c r="A26" s="6" t="s">
        <v>281</v>
      </c>
      <c r="C26" s="22" t="n">
        <f aca="false">SUM(C10:C25)</f>
        <v>125440000</v>
      </c>
      <c r="D26" s="22" t="n">
        <f aca="false">SUM(D10:D25)</f>
        <v>113940000</v>
      </c>
    </row>
    <row r="28" customFormat="false" ht="30" hidden="false" customHeight="true" outlineLevel="0" collapsed="false">
      <c r="A28" s="5" t="s">
        <v>311</v>
      </c>
      <c r="B28" s="5"/>
      <c r="C28" s="5" t="s">
        <v>104</v>
      </c>
      <c r="D28" s="5" t="s">
        <v>105</v>
      </c>
      <c r="E28" s="5" t="s">
        <v>308</v>
      </c>
      <c r="F28" s="5" t="s">
        <v>75</v>
      </c>
      <c r="G28" s="5" t="s">
        <v>309</v>
      </c>
    </row>
    <row r="29" customFormat="false" ht="15" hidden="false" customHeight="false" outlineLevel="0" collapsed="false">
      <c r="A29" s="9" t="str">
        <f aca="false">INDEX(Loan_Register!$B$5:$B$28,MATCH(C29,Loan_Register!$F$5:$F$28,0))</f>
        <v>Cypress Ridge Apartments, LP</v>
      </c>
      <c r="C29" s="28" t="n">
        <f aca="false">LARGE(Loan_Register!$F$5:$F$28,1)</f>
        <v>14000000</v>
      </c>
      <c r="D29" s="28" t="n">
        <f aca="false">INDEX(Loan_Register!$G$5:$G$28,MATCH(C29,Loan_Register!$F$5:$F$28,0))</f>
        <v>13700000</v>
      </c>
      <c r="E29" s="27" t="n">
        <f aca="false">C29/SUM(Loan_Register!$F$5:$F$28)</f>
        <v>0.111607142857143</v>
      </c>
      <c r="F29" s="27" t="n">
        <f aca="false">Settings!$B$33</f>
        <v>0.12</v>
      </c>
      <c r="G29" s="25" t="str">
        <f aca="false">IF(E29&gt;F29,"Over limit",IF(E29&gt;F29*Settings!$B$34,"Near limit","Within limit"))</f>
        <v>Near limit</v>
      </c>
    </row>
    <row r="30" customFormat="false" ht="15" hidden="false" customHeight="false" outlineLevel="0" collapsed="false">
      <c r="A30" s="9" t="str">
        <f aca="false">INDEX(Loan_Register!$B$5:$B$28,MATCH(C30,Loan_Register!$F$5:$F$28,0))</f>
        <v>Westchase Office Plaza, LLC</v>
      </c>
      <c r="C30" s="28" t="n">
        <f aca="false">LARGE(Loan_Register!$F$5:$F$28,2)</f>
        <v>11500000</v>
      </c>
      <c r="D30" s="28" t="n">
        <f aca="false">INDEX(Loan_Register!$G$5:$G$28,MATCH(C30,Loan_Register!$F$5:$F$28,0))</f>
        <v>11200000</v>
      </c>
      <c r="E30" s="27" t="n">
        <f aca="false">C30/SUM(Loan_Register!$F$5:$F$28)</f>
        <v>0.0916772959183674</v>
      </c>
      <c r="F30" s="27" t="n">
        <f aca="false">Settings!$B$33</f>
        <v>0.12</v>
      </c>
      <c r="G30" s="25" t="str">
        <f aca="false">IF(E30&gt;F30,"Over limit",IF(E30&gt;F30*Settings!$B$34,"Near limit","Within limit"))</f>
        <v>Within limit</v>
      </c>
    </row>
    <row r="31" customFormat="false" ht="15" hidden="false" customHeight="false" outlineLevel="0" collapsed="false">
      <c r="A31" s="9" t="str">
        <f aca="false">INDEX(Loan_Register!$B$5:$B$28,MATCH(C31,Loan_Register!$F$5:$F$28,0))</f>
        <v>Gulfway Cold Storage Partners, LP</v>
      </c>
      <c r="C31" s="28" t="n">
        <f aca="false">LARGE(Loan_Register!$F$5:$F$28,3)</f>
        <v>9500000</v>
      </c>
      <c r="D31" s="28" t="n">
        <f aca="false">INDEX(Loan_Register!$G$5:$G$28,MATCH(C31,Loan_Register!$F$5:$F$28,0))</f>
        <v>9120000</v>
      </c>
      <c r="E31" s="27" t="n">
        <f aca="false">C31/SUM(Loan_Register!$F$5:$F$28)</f>
        <v>0.0757334183673469</v>
      </c>
      <c r="F31" s="27" t="n">
        <f aca="false">Settings!$B$33</f>
        <v>0.12</v>
      </c>
      <c r="G31" s="25" t="str">
        <f aca="false">IF(E31&gt;F31,"Over limit",IF(E31&gt;F31*Settings!$B$34,"Near limit","Within limit"))</f>
        <v>Within limit</v>
      </c>
    </row>
    <row r="32" customFormat="false" ht="15" hidden="false" customHeight="false" outlineLevel="0" collapsed="false">
      <c r="A32" s="9" t="str">
        <f aca="false">INDEX(Loan_Register!$B$5:$B$28,MATCH(C32,Loan_Register!$F$5:$F$28,0))</f>
        <v>Northgate Senior Living, LLC</v>
      </c>
      <c r="C32" s="28" t="n">
        <f aca="false">LARGE(Loan_Register!$F$5:$F$28,4)</f>
        <v>9000000</v>
      </c>
      <c r="D32" s="28" t="n">
        <f aca="false">INDEX(Loan_Register!$G$5:$G$28,MATCH(C32,Loan_Register!$F$5:$F$28,0))</f>
        <v>8800000</v>
      </c>
      <c r="E32" s="27" t="n">
        <f aca="false">C32/SUM(Loan_Register!$F$5:$F$28)</f>
        <v>0.0717474489795918</v>
      </c>
      <c r="F32" s="27" t="n">
        <f aca="false">Settings!$B$33</f>
        <v>0.12</v>
      </c>
      <c r="G32" s="25" t="str">
        <f aca="false">IF(E32&gt;F32,"Over limit",IF(E32&gt;F32*Settings!$B$34,"Near limit","Within limit"))</f>
        <v>Within limit</v>
      </c>
    </row>
    <row r="33" customFormat="false" ht="15" hidden="false" customHeight="false" outlineLevel="0" collapsed="false">
      <c r="A33" s="9" t="str">
        <f aca="false">INDEX(Loan_Register!$B$5:$B$28,MATCH(C33,Loan_Register!$F$5:$F$28,0))</f>
        <v>Lone Oak Hospitality, Inc.</v>
      </c>
      <c r="C33" s="28" t="n">
        <f aca="false">LARGE(Loan_Register!$F$5:$F$28,5)</f>
        <v>8200000</v>
      </c>
      <c r="D33" s="28" t="n">
        <f aca="false">INDEX(Loan_Register!$G$5:$G$28,MATCH(C33,Loan_Register!$F$5:$F$28,0))</f>
        <v>7950000</v>
      </c>
      <c r="E33" s="27" t="n">
        <f aca="false">C33/SUM(Loan_Register!$F$5:$F$28)</f>
        <v>0.0653698979591837</v>
      </c>
      <c r="F33" s="27" t="n">
        <f aca="false">Settings!$B$33</f>
        <v>0.12</v>
      </c>
      <c r="G33" s="25" t="str">
        <f aca="false">IF(E33&gt;F33,"Over limit",IF(E33&gt;F33*Settings!$B$34,"Near limit","Within limit"))</f>
        <v>Within limit</v>
      </c>
    </row>
    <row r="34" customFormat="false" ht="15" hidden="false" customHeight="false" outlineLevel="0" collapsed="false">
      <c r="A34" s="6" t="s">
        <v>312</v>
      </c>
      <c r="C34" s="22" t="n">
        <f aca="false">SUM(C29:C33)</f>
        <v>52200000</v>
      </c>
      <c r="E34" s="48" t="n">
        <f aca="false">SUM(E29:E33)</f>
        <v>0.416135204081633</v>
      </c>
    </row>
  </sheetData>
  <conditionalFormatting sqref="G5:G34">
    <cfRule type="cellIs" priority="2" operator="equal" aboveAverage="0" equalAverage="0" bottom="0" percent="0" rank="0" text="" dxfId="0">
      <formula>"Breach"</formula>
    </cfRule>
    <cfRule type="cellIs" priority="3" operator="equal" aboveAverage="0" equalAverage="0" bottom="0" percent="0" rank="0" text="" dxfId="0">
      <formula>"Critical"</formula>
    </cfRule>
    <cfRule type="cellIs" priority="4" operator="equal" aboveAverage="0" equalAverage="0" bottom="0" percent="0" rank="0" text="" dxfId="0">
      <formula>"Outstanding past due"</formula>
    </cfRule>
    <cfRule type="cellIs" priority="5" operator="equal" aboveAverage="0" equalAverage="0" bottom="0" percent="0" rank="0" text="" dxfId="1">
      <formula>"Near Breach"</formula>
    </cfRule>
    <cfRule type="cellIs" priority="6" operator="equal" aboveAverage="0" equalAverage="0" bottom="0" percent="0" rank="0" text="" dxfId="1">
      <formula>"Watch"</formula>
    </cfRule>
    <cfRule type="cellIs" priority="7" operator="equal" aboveAverage="0" equalAverage="0" bottom="0" percent="0" rank="0" text="" dxfId="2">
      <formula>"Received late"</formula>
    </cfRule>
    <cfRule type="cellIs" priority="8" operator="equal" aboveAverage="0" equalAverage="0" bottom="0" percent="0" rank="0" text="" dxfId="2">
      <formula>"Monitor"</formula>
    </cfRule>
    <cfRule type="cellIs" priority="9" operator="equal" aboveAverage="0" equalAverage="0" bottom="0" percent="0" rank="0" text="" dxfId="0">
      <formula>"Late"</formula>
    </cfRule>
    <cfRule type="cellIs" priority="10" operator="equal" aboveAverage="0" equalAverage="0" bottom="0" percent="0" rank="0" text="" dxfId="1">
      <formula>"Near limit"</formula>
    </cfRule>
    <cfRule type="cellIs" priority="11" operator="equal" aboveAverage="0" equalAverage="0" bottom="0" percent="0" rank="0" text="" dxfId="0">
      <formula>"Over limit"</formula>
    </cfRule>
    <cfRule type="cellIs" priority="12" operator="equal" aboveAverage="0" equalAverage="0" bottom="0" percent="0" rank="0" text="" dxfId="2">
      <formula>"Maturing &lt;= 12 mo"</formula>
    </cfRule>
    <cfRule type="cellIs" priority="13" operator="equal" aboveAverage="0" equalAverage="0" bottom="0" percent="0" rank="0" text="" dxfId="3">
      <formula>"Pass"</formula>
    </cfRule>
    <cfRule type="cellIs" priority="14" operator="equal" aboveAverage="0" equalAverage="0" bottom="0" percent="0" rank="0" text="" dxfId="3">
      <formula>"Green"</formula>
    </cfRule>
    <cfRule type="cellIs" priority="15" operator="equal" aboveAverage="0" equalAverage="0" bottom="0" percent="0" rank="0" text="" dxfId="3">
      <formula>"Within limit"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Q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8"/>
    <col collapsed="false" customWidth="true" hidden="false" outlineLevel="0" max="10" min="10" style="0" width="20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8"/>
  </cols>
  <sheetData>
    <row r="1" customFormat="false" ht="17.35" hidden="false" customHeight="false" outlineLevel="0" collapsed="false">
      <c r="A1" s="10" t="s">
        <v>313</v>
      </c>
    </row>
    <row r="2" customFormat="false" ht="15" hidden="false" customHeight="false" outlineLevel="0" collapsed="false">
      <c r="A2" s="3" t="s">
        <v>314</v>
      </c>
    </row>
    <row r="4" customFormat="false" ht="30" hidden="false" customHeight="true" outlineLevel="0" collapsed="false">
      <c r="A4" s="5" t="s">
        <v>99</v>
      </c>
      <c r="B4" s="5" t="s">
        <v>100</v>
      </c>
      <c r="C4" s="5" t="s">
        <v>315</v>
      </c>
      <c r="D4" s="5" t="s">
        <v>316</v>
      </c>
      <c r="E4" s="5" t="s">
        <v>317</v>
      </c>
      <c r="F4" s="5" t="s">
        <v>318</v>
      </c>
      <c r="G4" s="5" t="s">
        <v>319</v>
      </c>
      <c r="H4" s="5" t="s">
        <v>316</v>
      </c>
      <c r="I4" s="5" t="s">
        <v>317</v>
      </c>
      <c r="J4" s="5" t="s">
        <v>320</v>
      </c>
      <c r="K4" s="5" t="s">
        <v>321</v>
      </c>
      <c r="L4" s="5" t="s">
        <v>322</v>
      </c>
      <c r="M4" s="5" t="s">
        <v>323</v>
      </c>
      <c r="N4" s="5" t="s">
        <v>324</v>
      </c>
      <c r="O4" s="5" t="s">
        <v>108</v>
      </c>
      <c r="P4" s="5" t="s">
        <v>325</v>
      </c>
      <c r="Q4" s="5" t="s">
        <v>326</v>
      </c>
    </row>
    <row r="5" customFormat="false" ht="15" hidden="false" customHeight="false" outlineLevel="0" collapsed="false">
      <c r="A5" s="9" t="str">
        <f aca="false">Loan_Register!A5</f>
        <v>PL-1001</v>
      </c>
      <c r="B5" s="9" t="str">
        <f aca="false">Loan_Register!B5</f>
        <v>Brazos Bend Fabrication, LLC</v>
      </c>
      <c r="C5" s="49" t="n">
        <f aca="false">Loan_Register!V5</f>
        <v>46142</v>
      </c>
      <c r="D5" s="49" t="n">
        <f aca="false">IF(Loan_Register!W5="","",Loan_Register!W5)</f>
        <v>46130</v>
      </c>
      <c r="E5" s="30" t="n">
        <f aca="false">IF(D5="",MAX(0,Settings!$B$5-C5),MAX(0,D5-C5))</f>
        <v>0</v>
      </c>
      <c r="F5" s="25" t="str">
        <f aca="false">IF(D5="",IF(Settings!$B$5&gt;C5,"Outstanding past due","Not yet due"),IF(E5&gt;0,"Received late","Received on time"))</f>
        <v>Received on time</v>
      </c>
      <c r="G5" s="49" t="n">
        <f aca="false">Loan_Register!X5</f>
        <v>46248</v>
      </c>
      <c r="H5" s="49" t="n">
        <f aca="false">IF(Loan_Register!Y5="","",Loan_Register!Y5)</f>
        <v>46240</v>
      </c>
      <c r="I5" s="30" t="n">
        <f aca="false">IF(H5="",MAX(0,Settings!$B$5-G5),MAX(0,H5-G5))</f>
        <v>0</v>
      </c>
      <c r="J5" s="25" t="str">
        <f aca="false">IF(H5="",IF(Settings!$B$5&gt;G5,"Outstanding past due","Not yet due"),IF(I5&gt;0,"Received late","Received on time"))</f>
        <v>Received on time</v>
      </c>
      <c r="K5" s="25" t="str">
        <f aca="false">Loan_Register!H5</f>
        <v>Y</v>
      </c>
      <c r="L5" s="50" t="n">
        <f aca="false">IF(K5="Y",Loan_Register!Z5,"n/a")</f>
        <v>46283</v>
      </c>
      <c r="M5" s="30" t="n">
        <f aca="false">IF(K5="Y",Settings!$B$5-L5,"")</f>
        <v>12</v>
      </c>
      <c r="N5" s="25" t="str">
        <f aca="false">IF(K5="Y",IF(M5&gt;Settings!$B$8,"Late","Current"),"n/a")</f>
        <v>Current</v>
      </c>
      <c r="O5" s="49" t="n">
        <f aca="false">Loan_Register!J5</f>
        <v>47299</v>
      </c>
      <c r="P5" s="30" t="n">
        <f aca="false">O5-Settings!$B$5</f>
        <v>1004</v>
      </c>
      <c r="Q5" s="25" t="str">
        <f aca="false">IF(P5&lt;=Settings!$B$10,"Maturing &lt;= 12 mo","")</f>
        <v/>
      </c>
    </row>
    <row r="6" customFormat="false" ht="15" hidden="false" customHeight="false" outlineLevel="0" collapsed="false">
      <c r="A6" s="9" t="str">
        <f aca="false">Loan_Register!A6</f>
        <v>PL-1002</v>
      </c>
      <c r="B6" s="9" t="str">
        <f aca="false">Loan_Register!B6</f>
        <v>Gulfway Cold Storage Partners, LP</v>
      </c>
      <c r="C6" s="49" t="n">
        <f aca="false">Loan_Register!V6</f>
        <v>46142</v>
      </c>
      <c r="D6" s="49" t="n">
        <f aca="false">IF(Loan_Register!W6="","",Loan_Register!W6)</f>
        <v>46122</v>
      </c>
      <c r="E6" s="30" t="n">
        <f aca="false">IF(D6="",MAX(0,Settings!$B$5-C6),MAX(0,D6-C6))</f>
        <v>0</v>
      </c>
      <c r="F6" s="25" t="str">
        <f aca="false">IF(D6="",IF(Settings!$B$5&gt;C6,"Outstanding past due","Not yet due"),IF(E6&gt;0,"Received late","Received on time"))</f>
        <v>Received on time</v>
      </c>
      <c r="G6" s="49" t="n">
        <f aca="false">Loan_Register!X6</f>
        <v>46248</v>
      </c>
      <c r="H6" s="49" t="n">
        <f aca="false">IF(Loan_Register!Y6="","",Loan_Register!Y6)</f>
        <v>46235</v>
      </c>
      <c r="I6" s="30" t="n">
        <f aca="false">IF(H6="",MAX(0,Settings!$B$5-G6),MAX(0,H6-G6))</f>
        <v>0</v>
      </c>
      <c r="J6" s="25" t="str">
        <f aca="false">IF(H6="",IF(Settings!$B$5&gt;G6,"Outstanding past due","Not yet due"),IF(I6&gt;0,"Received late","Received on time"))</f>
        <v>Received on time</v>
      </c>
      <c r="K6" s="25" t="str">
        <f aca="false">Loan_Register!H6</f>
        <v>N</v>
      </c>
      <c r="L6" s="50" t="str">
        <f aca="false">IF(K6="Y",Loan_Register!Z6,"n/a")</f>
        <v>n/a</v>
      </c>
      <c r="M6" s="30" t="str">
        <f aca="false">IF(K6="Y",Settings!$B$5-L6,"")</f>
        <v/>
      </c>
      <c r="N6" s="25" t="str">
        <f aca="false">IF(K6="Y",IF(M6&gt;Settings!$B$8,"Late","Current"),"n/a")</f>
        <v>n/a</v>
      </c>
      <c r="O6" s="49" t="n">
        <f aca="false">Loan_Register!J6</f>
        <v>47938</v>
      </c>
      <c r="P6" s="30" t="n">
        <f aca="false">O6-Settings!$B$5</f>
        <v>1643</v>
      </c>
      <c r="Q6" s="25" t="str">
        <f aca="false">IF(P6&lt;=Settings!$B$10,"Maturing &lt;= 12 mo","")</f>
        <v/>
      </c>
    </row>
    <row r="7" customFormat="false" ht="15" hidden="false" customHeight="false" outlineLevel="0" collapsed="false">
      <c r="A7" s="9" t="str">
        <f aca="false">Loan_Register!A7</f>
        <v>PL-1003</v>
      </c>
      <c r="B7" s="9" t="str">
        <f aca="false">Loan_Register!B7</f>
        <v>Bayou City Pediatric Associates, PA</v>
      </c>
      <c r="C7" s="49" t="n">
        <f aca="false">Loan_Register!V7</f>
        <v>46142</v>
      </c>
      <c r="D7" s="49" t="n">
        <f aca="false">IF(Loan_Register!W7="","",Loan_Register!W7)</f>
        <v>46134</v>
      </c>
      <c r="E7" s="30" t="n">
        <f aca="false">IF(D7="",MAX(0,Settings!$B$5-C7),MAX(0,D7-C7))</f>
        <v>0</v>
      </c>
      <c r="F7" s="25" t="str">
        <f aca="false">IF(D7="",IF(Settings!$B$5&gt;C7,"Outstanding past due","Not yet due"),IF(E7&gt;0,"Received late","Received on time"))</f>
        <v>Received on time</v>
      </c>
      <c r="G7" s="49" t="n">
        <f aca="false">Loan_Register!X7</f>
        <v>46248</v>
      </c>
      <c r="H7" s="49" t="n">
        <f aca="false">IF(Loan_Register!Y7="","",Loan_Register!Y7)</f>
        <v>46246</v>
      </c>
      <c r="I7" s="30" t="n">
        <f aca="false">IF(H7="",MAX(0,Settings!$B$5-G7),MAX(0,H7-G7))</f>
        <v>0</v>
      </c>
      <c r="J7" s="25" t="str">
        <f aca="false">IF(H7="",IF(Settings!$B$5&gt;G7,"Outstanding past due","Not yet due"),IF(I7&gt;0,"Received late","Received on time"))</f>
        <v>Received on time</v>
      </c>
      <c r="K7" s="25" t="str">
        <f aca="false">Loan_Register!H7</f>
        <v>Y</v>
      </c>
      <c r="L7" s="50" t="n">
        <f aca="false">IF(K7="Y",Loan_Register!Z7,"n/a")</f>
        <v>46280</v>
      </c>
      <c r="M7" s="30" t="n">
        <f aca="false">IF(K7="Y",Settings!$B$5-L7,"")</f>
        <v>15</v>
      </c>
      <c r="N7" s="25" t="str">
        <f aca="false">IF(K7="Y",IF(M7&gt;Settings!$B$8,"Late","Current"),"n/a")</f>
        <v>Current</v>
      </c>
      <c r="O7" s="49" t="n">
        <f aca="false">Loan_Register!J7</f>
        <v>47087</v>
      </c>
      <c r="P7" s="30" t="n">
        <f aca="false">O7-Settings!$B$5</f>
        <v>792</v>
      </c>
      <c r="Q7" s="25" t="str">
        <f aca="false">IF(P7&lt;=Settings!$B$10,"Maturing &lt;= 12 mo","")</f>
        <v/>
      </c>
    </row>
    <row r="8" customFormat="false" ht="15" hidden="false" customHeight="false" outlineLevel="0" collapsed="false">
      <c r="A8" s="9" t="str">
        <f aca="false">Loan_Register!A8</f>
        <v>PL-1004</v>
      </c>
      <c r="B8" s="9" t="str">
        <f aca="false">Loan_Register!B8</f>
        <v>Cypress Ridge Apartments, LP</v>
      </c>
      <c r="C8" s="49" t="n">
        <f aca="false">Loan_Register!V8</f>
        <v>46142</v>
      </c>
      <c r="D8" s="49" t="n">
        <f aca="false">IF(Loan_Register!W8="","",Loan_Register!W8)</f>
        <v>46140</v>
      </c>
      <c r="E8" s="30" t="n">
        <f aca="false">IF(D8="",MAX(0,Settings!$B$5-C8),MAX(0,D8-C8))</f>
        <v>0</v>
      </c>
      <c r="F8" s="25" t="str">
        <f aca="false">IF(D8="",IF(Settings!$B$5&gt;C8,"Outstanding past due","Not yet due"),IF(E8&gt;0,"Received late","Received on time"))</f>
        <v>Received on time</v>
      </c>
      <c r="G8" s="49" t="n">
        <f aca="false">Loan_Register!X8</f>
        <v>46248</v>
      </c>
      <c r="H8" s="49" t="n">
        <f aca="false">IF(Loan_Register!Y8="","",Loan_Register!Y8)</f>
        <v>46245</v>
      </c>
      <c r="I8" s="30" t="n">
        <f aca="false">IF(H8="",MAX(0,Settings!$B$5-G8),MAX(0,H8-G8))</f>
        <v>0</v>
      </c>
      <c r="J8" s="25" t="str">
        <f aca="false">IF(H8="",IF(Settings!$B$5&gt;G8,"Outstanding past due","Not yet due"),IF(I8&gt;0,"Received late","Received on time"))</f>
        <v>Received on time</v>
      </c>
      <c r="K8" s="25" t="str">
        <f aca="false">Loan_Register!H8</f>
        <v>N</v>
      </c>
      <c r="L8" s="50" t="str">
        <f aca="false">IF(K8="Y",Loan_Register!Z8,"n/a")</f>
        <v>n/a</v>
      </c>
      <c r="M8" s="30" t="str">
        <f aca="false">IF(K8="Y",Settings!$B$5-L8,"")</f>
        <v/>
      </c>
      <c r="N8" s="25" t="str">
        <f aca="false">IF(K8="Y",IF(M8&gt;Settings!$B$8,"Late","Current"),"n/a")</f>
        <v>n/a</v>
      </c>
      <c r="O8" s="49" t="n">
        <f aca="false">Loan_Register!J8</f>
        <v>47391</v>
      </c>
      <c r="P8" s="30" t="n">
        <f aca="false">O8-Settings!$B$5</f>
        <v>1096</v>
      </c>
      <c r="Q8" s="25" t="str">
        <f aca="false">IF(P8&lt;=Settings!$B$10,"Maturing &lt;= 12 mo","")</f>
        <v/>
      </c>
    </row>
    <row r="9" customFormat="false" ht="15" hidden="false" customHeight="false" outlineLevel="0" collapsed="false">
      <c r="A9" s="9" t="str">
        <f aca="false">Loan_Register!A9</f>
        <v>PL-1005</v>
      </c>
      <c r="B9" s="9" t="str">
        <f aca="false">Loan_Register!B9</f>
        <v>Lone Oak Hospitality, Inc.</v>
      </c>
      <c r="C9" s="49" t="n">
        <f aca="false">Loan_Register!V9</f>
        <v>46142</v>
      </c>
      <c r="D9" s="49" t="n">
        <f aca="false">IF(Loan_Register!W9="","",Loan_Register!W9)</f>
        <v>46137</v>
      </c>
      <c r="E9" s="30" t="n">
        <f aca="false">IF(D9="",MAX(0,Settings!$B$5-C9),MAX(0,D9-C9))</f>
        <v>0</v>
      </c>
      <c r="F9" s="25" t="str">
        <f aca="false">IF(D9="",IF(Settings!$B$5&gt;C9,"Outstanding past due","Not yet due"),IF(E9&gt;0,"Received late","Received on time"))</f>
        <v>Received on time</v>
      </c>
      <c r="G9" s="49" t="n">
        <f aca="false">Loan_Register!X9</f>
        <v>46248</v>
      </c>
      <c r="H9" s="49" t="n">
        <f aca="false">IF(Loan_Register!Y9="","",Loan_Register!Y9)</f>
        <v>46248</v>
      </c>
      <c r="I9" s="30" t="n">
        <f aca="false">IF(H9="",MAX(0,Settings!$B$5-G9),MAX(0,H9-G9))</f>
        <v>0</v>
      </c>
      <c r="J9" s="25" t="str">
        <f aca="false">IF(H9="",IF(Settings!$B$5&gt;G9,"Outstanding past due","Not yet due"),IF(I9&gt;0,"Received late","Received on time"))</f>
        <v>Received on time</v>
      </c>
      <c r="K9" s="25" t="str">
        <f aca="false">Loan_Register!H9</f>
        <v>N</v>
      </c>
      <c r="L9" s="50" t="str">
        <f aca="false">IF(K9="Y",Loan_Register!Z9,"n/a")</f>
        <v>n/a</v>
      </c>
      <c r="M9" s="30" t="str">
        <f aca="false">IF(K9="Y",Settings!$B$5-L9,"")</f>
        <v/>
      </c>
      <c r="N9" s="25" t="str">
        <f aca="false">IF(K9="Y",IF(M9&gt;Settings!$B$8,"Late","Current"),"n/a")</f>
        <v>n/a</v>
      </c>
      <c r="O9" s="49" t="n">
        <f aca="false">Loan_Register!J9</f>
        <v>47634</v>
      </c>
      <c r="P9" s="30" t="n">
        <f aca="false">O9-Settings!$B$5</f>
        <v>1339</v>
      </c>
      <c r="Q9" s="25" t="str">
        <f aca="false">IF(P9&lt;=Settings!$B$10,"Maturing &lt;= 12 mo","")</f>
        <v/>
      </c>
    </row>
    <row r="10" customFormat="false" ht="15" hidden="false" customHeight="false" outlineLevel="0" collapsed="false">
      <c r="A10" s="9" t="str">
        <f aca="false">Loan_Register!A10</f>
        <v>PL-1006</v>
      </c>
      <c r="B10" s="9" t="str">
        <f aca="false">Loan_Register!B10</f>
        <v>Copperline Electrical Contractors, Inc.</v>
      </c>
      <c r="C10" s="49" t="n">
        <f aca="false">Loan_Register!V10</f>
        <v>46142</v>
      </c>
      <c r="D10" s="49" t="n">
        <f aca="false">IF(Loan_Register!W10="","",Loan_Register!W10)</f>
        <v>46127</v>
      </c>
      <c r="E10" s="30" t="n">
        <f aca="false">IF(D10="",MAX(0,Settings!$B$5-C10),MAX(0,D10-C10))</f>
        <v>0</v>
      </c>
      <c r="F10" s="25" t="str">
        <f aca="false">IF(D10="",IF(Settings!$B$5&gt;C10,"Outstanding past due","Not yet due"),IF(E10&gt;0,"Received late","Received on time"))</f>
        <v>Received on time</v>
      </c>
      <c r="G10" s="49" t="n">
        <f aca="false">Loan_Register!X10</f>
        <v>46248</v>
      </c>
      <c r="H10" s="49" t="n">
        <f aca="false">IF(Loan_Register!Y10="","",Loan_Register!Y10)</f>
        <v>46244</v>
      </c>
      <c r="I10" s="30" t="n">
        <f aca="false">IF(H10="",MAX(0,Settings!$B$5-G10),MAX(0,H10-G10))</f>
        <v>0</v>
      </c>
      <c r="J10" s="25" t="str">
        <f aca="false">IF(H10="",IF(Settings!$B$5&gt;G10,"Outstanding past due","Not yet due"),IF(I10&gt;0,"Received late","Received on time"))</f>
        <v>Received on time</v>
      </c>
      <c r="K10" s="25" t="str">
        <f aca="false">Loan_Register!H10</f>
        <v>Y</v>
      </c>
      <c r="L10" s="50" t="n">
        <f aca="false">IF(K10="Y",Loan_Register!Z10,"n/a")</f>
        <v>46284</v>
      </c>
      <c r="M10" s="30" t="n">
        <f aca="false">IF(K10="Y",Settings!$B$5-L10,"")</f>
        <v>11</v>
      </c>
      <c r="N10" s="25" t="str">
        <f aca="false">IF(K10="Y",IF(M10&gt;Settings!$B$8,"Late","Current"),"n/a")</f>
        <v>Current</v>
      </c>
      <c r="O10" s="49" t="n">
        <f aca="false">Loan_Register!J10</f>
        <v>46568</v>
      </c>
      <c r="P10" s="30" t="n">
        <f aca="false">O10-Settings!$B$5</f>
        <v>273</v>
      </c>
      <c r="Q10" s="25" t="str">
        <f aca="false">IF(P10&lt;=Settings!$B$10,"Maturing &lt;= 12 mo","")</f>
        <v>Maturing &lt;= 12 mo</v>
      </c>
    </row>
    <row r="11" customFormat="false" ht="15" hidden="false" customHeight="false" outlineLevel="0" collapsed="false">
      <c r="A11" s="9" t="str">
        <f aca="false">Loan_Register!A11</f>
        <v>PL-1007</v>
      </c>
      <c r="B11" s="9" t="str">
        <f aca="false">Loan_Register!B11</f>
        <v>Harbor Point Logistics, LLC</v>
      </c>
      <c r="C11" s="49" t="n">
        <f aca="false">Loan_Register!V11</f>
        <v>46142</v>
      </c>
      <c r="D11" s="49" t="n">
        <f aca="false">IF(Loan_Register!W11="","",Loan_Register!W11)</f>
        <v>46164</v>
      </c>
      <c r="E11" s="30" t="n">
        <f aca="false">IF(D11="",MAX(0,Settings!$B$5-C11),MAX(0,D11-C11))</f>
        <v>22</v>
      </c>
      <c r="F11" s="25" t="str">
        <f aca="false">IF(D11="",IF(Settings!$B$5&gt;C11,"Outstanding past due","Not yet due"),IF(E11&gt;0,"Received late","Received on time"))</f>
        <v>Received late</v>
      </c>
      <c r="G11" s="49" t="n">
        <f aca="false">Loan_Register!X11</f>
        <v>46248</v>
      </c>
      <c r="H11" s="49" t="str">
        <f aca="false">IF(Loan_Register!Y11="","",Loan_Register!Y11)</f>
        <v/>
      </c>
      <c r="I11" s="30" t="n">
        <f aca="false">IF(H11="",MAX(0,Settings!$B$5-G11),MAX(0,H11-G11))</f>
        <v>47</v>
      </c>
      <c r="J11" s="25" t="str">
        <f aca="false">IF(H11="",IF(Settings!$B$5&gt;G11,"Outstanding past due","Not yet due"),IF(I11&gt;0,"Received late","Received on time"))</f>
        <v>Outstanding past due</v>
      </c>
      <c r="K11" s="25" t="str">
        <f aca="false">Loan_Register!H11</f>
        <v>N</v>
      </c>
      <c r="L11" s="50" t="str">
        <f aca="false">IF(K11="Y",Loan_Register!Z11,"n/a")</f>
        <v>n/a</v>
      </c>
      <c r="M11" s="30" t="str">
        <f aca="false">IF(K11="Y",Settings!$B$5-L11,"")</f>
        <v/>
      </c>
      <c r="N11" s="25" t="str">
        <f aca="false">IF(K11="Y",IF(M11&gt;Settings!$B$8,"Late","Current"),"n/a")</f>
        <v>n/a</v>
      </c>
      <c r="O11" s="49" t="n">
        <f aca="false">Loan_Register!J11</f>
        <v>47542</v>
      </c>
      <c r="P11" s="30" t="n">
        <f aca="false">O11-Settings!$B$5</f>
        <v>1247</v>
      </c>
      <c r="Q11" s="25" t="str">
        <f aca="false">IF(P11&lt;=Settings!$B$10,"Maturing &lt;= 12 mo","")</f>
        <v/>
      </c>
    </row>
    <row r="12" customFormat="false" ht="15" hidden="false" customHeight="false" outlineLevel="0" collapsed="false">
      <c r="A12" s="9" t="str">
        <f aca="false">Loan_Register!A12</f>
        <v>PL-1008</v>
      </c>
      <c r="B12" s="9" t="str">
        <f aca="false">Loan_Register!B12</f>
        <v>Summit Pediatric Dental, PLLC</v>
      </c>
      <c r="C12" s="49" t="n">
        <f aca="false">Loan_Register!V12</f>
        <v>46142</v>
      </c>
      <c r="D12" s="49" t="n">
        <f aca="false">IF(Loan_Register!W12="","",Loan_Register!W12)</f>
        <v>46114</v>
      </c>
      <c r="E12" s="30" t="n">
        <f aca="false">IF(D12="",MAX(0,Settings!$B$5-C12),MAX(0,D12-C12))</f>
        <v>0</v>
      </c>
      <c r="F12" s="25" t="str">
        <f aca="false">IF(D12="",IF(Settings!$B$5&gt;C12,"Outstanding past due","Not yet due"),IF(E12&gt;0,"Received late","Received on time"))</f>
        <v>Received on time</v>
      </c>
      <c r="G12" s="49" t="n">
        <f aca="false">Loan_Register!X12</f>
        <v>46248</v>
      </c>
      <c r="H12" s="49" t="n">
        <f aca="false">IF(Loan_Register!Y12="","",Loan_Register!Y12)</f>
        <v>46233</v>
      </c>
      <c r="I12" s="30" t="n">
        <f aca="false">IF(H12="",MAX(0,Settings!$B$5-G12),MAX(0,H12-G12))</f>
        <v>0</v>
      </c>
      <c r="J12" s="25" t="str">
        <f aca="false">IF(H12="",IF(Settings!$B$5&gt;G12,"Outstanding past due","Not yet due"),IF(I12&gt;0,"Received late","Received on time"))</f>
        <v>Received on time</v>
      </c>
      <c r="K12" s="25" t="str">
        <f aca="false">Loan_Register!H12</f>
        <v>N</v>
      </c>
      <c r="L12" s="50" t="str">
        <f aca="false">IF(K12="Y",Loan_Register!Z12,"n/a")</f>
        <v>n/a</v>
      </c>
      <c r="M12" s="30" t="str">
        <f aca="false">IF(K12="Y",Settings!$B$5-L12,"")</f>
        <v/>
      </c>
      <c r="N12" s="25" t="str">
        <f aca="false">IF(K12="Y",IF(M12&gt;Settings!$B$8,"Late","Current"),"n/a")</f>
        <v>n/a</v>
      </c>
      <c r="O12" s="49" t="n">
        <f aca="false">Loan_Register!J12</f>
        <v>47361</v>
      </c>
      <c r="P12" s="30" t="n">
        <f aca="false">O12-Settings!$B$5</f>
        <v>1066</v>
      </c>
      <c r="Q12" s="25" t="str">
        <f aca="false">IF(P12&lt;=Settings!$B$10,"Maturing &lt;= 12 mo","")</f>
        <v/>
      </c>
    </row>
    <row r="13" customFormat="false" ht="15" hidden="false" customHeight="false" outlineLevel="0" collapsed="false">
      <c r="A13" s="9" t="str">
        <f aca="false">Loan_Register!A13</f>
        <v>PL-1009</v>
      </c>
      <c r="B13" s="9" t="str">
        <f aca="false">Loan_Register!B13</f>
        <v>Westchase Office Plaza, LLC</v>
      </c>
      <c r="C13" s="49" t="n">
        <f aca="false">Loan_Register!V13</f>
        <v>46142</v>
      </c>
      <c r="D13" s="49" t="n">
        <f aca="false">IF(Loan_Register!W13="","",Loan_Register!W13)</f>
        <v>46141</v>
      </c>
      <c r="E13" s="30" t="n">
        <f aca="false">IF(D13="",MAX(0,Settings!$B$5-C13),MAX(0,D13-C13))</f>
        <v>0</v>
      </c>
      <c r="F13" s="25" t="str">
        <f aca="false">IF(D13="",IF(Settings!$B$5&gt;C13,"Outstanding past due","Not yet due"),IF(E13&gt;0,"Received late","Received on time"))</f>
        <v>Received on time</v>
      </c>
      <c r="G13" s="49" t="n">
        <f aca="false">Loan_Register!X13</f>
        <v>46248</v>
      </c>
      <c r="H13" s="49" t="n">
        <f aca="false">IF(Loan_Register!Y13="","",Loan_Register!Y13)</f>
        <v>46247</v>
      </c>
      <c r="I13" s="30" t="n">
        <f aca="false">IF(H13="",MAX(0,Settings!$B$5-G13),MAX(0,H13-G13))</f>
        <v>0</v>
      </c>
      <c r="J13" s="25" t="str">
        <f aca="false">IF(H13="",IF(Settings!$B$5&gt;G13,"Outstanding past due","Not yet due"),IF(I13&gt;0,"Received late","Received on time"))</f>
        <v>Received on time</v>
      </c>
      <c r="K13" s="25" t="str">
        <f aca="false">Loan_Register!H13</f>
        <v>N</v>
      </c>
      <c r="L13" s="50" t="str">
        <f aca="false">IF(K13="Y",Loan_Register!Z13,"n/a")</f>
        <v>n/a</v>
      </c>
      <c r="M13" s="30" t="str">
        <f aca="false">IF(K13="Y",Settings!$B$5-L13,"")</f>
        <v/>
      </c>
      <c r="N13" s="25" t="str">
        <f aca="false">IF(K13="Y",IF(M13&gt;Settings!$B$8,"Late","Current"),"n/a")</f>
        <v>n/a</v>
      </c>
      <c r="O13" s="49" t="n">
        <f aca="false">Loan_Register!J13</f>
        <v>46752</v>
      </c>
      <c r="P13" s="30" t="n">
        <f aca="false">O13-Settings!$B$5</f>
        <v>457</v>
      </c>
      <c r="Q13" s="25" t="str">
        <f aca="false">IF(P13&lt;=Settings!$B$10,"Maturing &lt;= 12 mo","")</f>
        <v/>
      </c>
    </row>
    <row r="14" customFormat="false" ht="15" hidden="false" customHeight="false" outlineLevel="0" collapsed="false">
      <c r="A14" s="9" t="str">
        <f aca="false">Loan_Register!A14</f>
        <v>PL-1010</v>
      </c>
      <c r="B14" s="9" t="str">
        <f aca="false">Loan_Register!B14</f>
        <v>Prairie Seed &amp; Supply Co.</v>
      </c>
      <c r="C14" s="49" t="n">
        <f aca="false">Loan_Register!V14</f>
        <v>46142</v>
      </c>
      <c r="D14" s="49" t="n">
        <f aca="false">IF(Loan_Register!W14="","",Loan_Register!W14)</f>
        <v>46132</v>
      </c>
      <c r="E14" s="30" t="n">
        <f aca="false">IF(D14="",MAX(0,Settings!$B$5-C14),MAX(0,D14-C14))</f>
        <v>0</v>
      </c>
      <c r="F14" s="25" t="str">
        <f aca="false">IF(D14="",IF(Settings!$B$5&gt;C14,"Outstanding past due","Not yet due"),IF(E14&gt;0,"Received late","Received on time"))</f>
        <v>Received on time</v>
      </c>
      <c r="G14" s="49" t="n">
        <f aca="false">Loan_Register!X14</f>
        <v>46248</v>
      </c>
      <c r="H14" s="49" t="n">
        <f aca="false">IF(Loan_Register!Y14="","",Loan_Register!Y14)</f>
        <v>46242</v>
      </c>
      <c r="I14" s="30" t="n">
        <f aca="false">IF(H14="",MAX(0,Settings!$B$5-G14),MAX(0,H14-G14))</f>
        <v>0</v>
      </c>
      <c r="J14" s="25" t="str">
        <f aca="false">IF(H14="",IF(Settings!$B$5&gt;G14,"Outstanding past due","Not yet due"),IF(I14&gt;0,"Received late","Received on time"))</f>
        <v>Received on time</v>
      </c>
      <c r="K14" s="25" t="str">
        <f aca="false">Loan_Register!H14</f>
        <v>Y</v>
      </c>
      <c r="L14" s="50" t="n">
        <f aca="false">IF(K14="Y",Loan_Register!Z14,"n/a")</f>
        <v>46277</v>
      </c>
      <c r="M14" s="30" t="n">
        <f aca="false">IF(K14="Y",Settings!$B$5-L14,"")</f>
        <v>18</v>
      </c>
      <c r="N14" s="25" t="str">
        <f aca="false">IF(K14="Y",IF(M14&gt;Settings!$B$8,"Late","Current"),"n/a")</f>
        <v>Current</v>
      </c>
      <c r="O14" s="49" t="n">
        <f aca="false">Loan_Register!J14</f>
        <v>46477</v>
      </c>
      <c r="P14" s="30" t="n">
        <f aca="false">O14-Settings!$B$5</f>
        <v>182</v>
      </c>
      <c r="Q14" s="25" t="str">
        <f aca="false">IF(P14&lt;=Settings!$B$10,"Maturing &lt;= 12 mo","")</f>
        <v>Maturing &lt;= 12 mo</v>
      </c>
    </row>
    <row r="15" customFormat="false" ht="15" hidden="false" customHeight="false" outlineLevel="0" collapsed="false">
      <c r="A15" s="9" t="str">
        <f aca="false">Loan_Register!A15</f>
        <v>PL-1011</v>
      </c>
      <c r="B15" s="9" t="str">
        <f aca="false">Loan_Register!B15</f>
        <v>Katy Retail Commons, LLC</v>
      </c>
      <c r="C15" s="49" t="n">
        <f aca="false">Loan_Register!V15</f>
        <v>46142</v>
      </c>
      <c r="D15" s="49" t="n">
        <f aca="false">IF(Loan_Register!W15="","",Loan_Register!W15)</f>
        <v>46128</v>
      </c>
      <c r="E15" s="30" t="n">
        <f aca="false">IF(D15="",MAX(0,Settings!$B$5-C15),MAX(0,D15-C15))</f>
        <v>0</v>
      </c>
      <c r="F15" s="25" t="str">
        <f aca="false">IF(D15="",IF(Settings!$B$5&gt;C15,"Outstanding past due","Not yet due"),IF(E15&gt;0,"Received late","Received on time"))</f>
        <v>Received on time</v>
      </c>
      <c r="G15" s="49" t="n">
        <f aca="false">Loan_Register!X15</f>
        <v>46248</v>
      </c>
      <c r="H15" s="49" t="n">
        <f aca="false">IF(Loan_Register!Y15="","",Loan_Register!Y15)</f>
        <v>46239</v>
      </c>
      <c r="I15" s="30" t="n">
        <f aca="false">IF(H15="",MAX(0,Settings!$B$5-G15),MAX(0,H15-G15))</f>
        <v>0</v>
      </c>
      <c r="J15" s="25" t="str">
        <f aca="false">IF(H15="",IF(Settings!$B$5&gt;G15,"Outstanding past due","Not yet due"),IF(I15&gt;0,"Received late","Received on time"))</f>
        <v>Received on time</v>
      </c>
      <c r="K15" s="25" t="str">
        <f aca="false">Loan_Register!H15</f>
        <v>N</v>
      </c>
      <c r="L15" s="50" t="str">
        <f aca="false">IF(K15="Y",Loan_Register!Z15,"n/a")</f>
        <v>n/a</v>
      </c>
      <c r="M15" s="30" t="str">
        <f aca="false">IF(K15="Y",Settings!$B$5-L15,"")</f>
        <v/>
      </c>
      <c r="N15" s="25" t="str">
        <f aca="false">IF(K15="Y",IF(M15&gt;Settings!$B$8,"Late","Current"),"n/a")</f>
        <v>n/a</v>
      </c>
      <c r="O15" s="49" t="n">
        <f aca="false">Loan_Register!J15</f>
        <v>48244</v>
      </c>
      <c r="P15" s="30" t="n">
        <f aca="false">O15-Settings!$B$5</f>
        <v>1949</v>
      </c>
      <c r="Q15" s="25" t="str">
        <f aca="false">IF(P15&lt;=Settings!$B$10,"Maturing &lt;= 12 mo","")</f>
        <v/>
      </c>
    </row>
    <row r="16" customFormat="false" ht="15" hidden="false" customHeight="false" outlineLevel="0" collapsed="false">
      <c r="A16" s="9" t="str">
        <f aca="false">Loan_Register!A16</f>
        <v>PL-1012</v>
      </c>
      <c r="B16" s="9" t="str">
        <f aca="false">Loan_Register!B16</f>
        <v>Trinity Machine Works, Inc.</v>
      </c>
      <c r="C16" s="49" t="n">
        <f aca="false">Loan_Register!V16</f>
        <v>46142</v>
      </c>
      <c r="D16" s="49" t="n">
        <f aca="false">IF(Loan_Register!W16="","",Loan_Register!W16)</f>
        <v>46124</v>
      </c>
      <c r="E16" s="30" t="n">
        <f aca="false">IF(D16="",MAX(0,Settings!$B$5-C16),MAX(0,D16-C16))</f>
        <v>0</v>
      </c>
      <c r="F16" s="25" t="str">
        <f aca="false">IF(D16="",IF(Settings!$B$5&gt;C16,"Outstanding past due","Not yet due"),IF(E16&gt;0,"Received late","Received on time"))</f>
        <v>Received on time</v>
      </c>
      <c r="G16" s="49" t="n">
        <f aca="false">Loan_Register!X16</f>
        <v>46248</v>
      </c>
      <c r="H16" s="49" t="n">
        <f aca="false">IF(Loan_Register!Y16="","",Loan_Register!Y16)</f>
        <v>46238</v>
      </c>
      <c r="I16" s="30" t="n">
        <f aca="false">IF(H16="",MAX(0,Settings!$B$5-G16),MAX(0,H16-G16))</f>
        <v>0</v>
      </c>
      <c r="J16" s="25" t="str">
        <f aca="false">IF(H16="",IF(Settings!$B$5&gt;G16,"Outstanding past due","Not yet due"),IF(I16&gt;0,"Received late","Received on time"))</f>
        <v>Received on time</v>
      </c>
      <c r="K16" s="25" t="str">
        <f aca="false">Loan_Register!H16</f>
        <v>Y</v>
      </c>
      <c r="L16" s="50" t="n">
        <f aca="false">IF(K16="Y",Loan_Register!Z16,"n/a")</f>
        <v>46281</v>
      </c>
      <c r="M16" s="30" t="n">
        <f aca="false">IF(K16="Y",Settings!$B$5-L16,"")</f>
        <v>14</v>
      </c>
      <c r="N16" s="25" t="str">
        <f aca="false">IF(K16="Y",IF(M16&gt;Settings!$B$8,"Late","Current"),"n/a")</f>
        <v>Current</v>
      </c>
      <c r="O16" s="49" t="n">
        <f aca="false">Loan_Register!J16</f>
        <v>46873</v>
      </c>
      <c r="P16" s="30" t="n">
        <f aca="false">O16-Settings!$B$5</f>
        <v>578</v>
      </c>
      <c r="Q16" s="25" t="str">
        <f aca="false">IF(P16&lt;=Settings!$B$10,"Maturing &lt;= 12 mo","")</f>
        <v/>
      </c>
    </row>
    <row r="17" customFormat="false" ht="15" hidden="false" customHeight="false" outlineLevel="0" collapsed="false">
      <c r="A17" s="9" t="str">
        <f aca="false">Loan_Register!A17</f>
        <v>PL-1013</v>
      </c>
      <c r="B17" s="9" t="str">
        <f aca="false">Loan_Register!B17</f>
        <v>Redbird Restaurant Group, LLC</v>
      </c>
      <c r="C17" s="49" t="n">
        <f aca="false">Loan_Register!V17</f>
        <v>46142</v>
      </c>
      <c r="D17" s="49" t="n">
        <f aca="false">IF(Loan_Register!W17="","",Loan_Register!W17)</f>
        <v>46139</v>
      </c>
      <c r="E17" s="30" t="n">
        <f aca="false">IF(D17="",MAX(0,Settings!$B$5-C17),MAX(0,D17-C17))</f>
        <v>0</v>
      </c>
      <c r="F17" s="25" t="str">
        <f aca="false">IF(D17="",IF(Settings!$B$5&gt;C17,"Outstanding past due","Not yet due"),IF(E17&gt;0,"Received late","Received on time"))</f>
        <v>Received on time</v>
      </c>
      <c r="G17" s="49" t="n">
        <f aca="false">Loan_Register!X17</f>
        <v>46248</v>
      </c>
      <c r="H17" s="49" t="n">
        <f aca="false">IF(Loan_Register!Y17="","",Loan_Register!Y17)</f>
        <v>46248</v>
      </c>
      <c r="I17" s="30" t="n">
        <f aca="false">IF(H17="",MAX(0,Settings!$B$5-G17),MAX(0,H17-G17))</f>
        <v>0</v>
      </c>
      <c r="J17" s="25" t="str">
        <f aca="false">IF(H17="",IF(Settings!$B$5&gt;G17,"Outstanding past due","Not yet due"),IF(I17&gt;0,"Received late","Received on time"))</f>
        <v>Received on time</v>
      </c>
      <c r="K17" s="25" t="str">
        <f aca="false">Loan_Register!H17</f>
        <v>N</v>
      </c>
      <c r="L17" s="50" t="str">
        <f aca="false">IF(K17="Y",Loan_Register!Z17,"n/a")</f>
        <v>n/a</v>
      </c>
      <c r="M17" s="30" t="str">
        <f aca="false">IF(K17="Y",Settings!$B$5-L17,"")</f>
        <v/>
      </c>
      <c r="N17" s="25" t="str">
        <f aca="false">IF(K17="Y",IF(M17&gt;Settings!$B$8,"Late","Current"),"n/a")</f>
        <v>n/a</v>
      </c>
      <c r="O17" s="49" t="n">
        <f aca="false">Loan_Register!J17</f>
        <v>47422</v>
      </c>
      <c r="P17" s="30" t="n">
        <f aca="false">O17-Settings!$B$5</f>
        <v>1127</v>
      </c>
      <c r="Q17" s="25" t="str">
        <f aca="false">IF(P17&lt;=Settings!$B$10,"Maturing &lt;= 12 mo","")</f>
        <v/>
      </c>
    </row>
    <row r="18" customFormat="false" ht="15" hidden="false" customHeight="false" outlineLevel="0" collapsed="false">
      <c r="A18" s="9" t="str">
        <f aca="false">Loan_Register!A18</f>
        <v>PL-1014</v>
      </c>
      <c r="B18" s="9" t="str">
        <f aca="false">Loan_Register!B18</f>
        <v>Gulf Coast Oilfield Rentals, LLC</v>
      </c>
      <c r="C18" s="49" t="n">
        <f aca="false">Loan_Register!V18</f>
        <v>46142</v>
      </c>
      <c r="D18" s="49" t="n">
        <f aca="false">IF(Loan_Register!W18="","",Loan_Register!W18)</f>
        <v>46133</v>
      </c>
      <c r="E18" s="30" t="n">
        <f aca="false">IF(D18="",MAX(0,Settings!$B$5-C18),MAX(0,D18-C18))</f>
        <v>0</v>
      </c>
      <c r="F18" s="25" t="str">
        <f aca="false">IF(D18="",IF(Settings!$B$5&gt;C18,"Outstanding past due","Not yet due"),IF(E18&gt;0,"Received late","Received on time"))</f>
        <v>Received on time</v>
      </c>
      <c r="G18" s="49" t="n">
        <f aca="false">Loan_Register!X18</f>
        <v>46248</v>
      </c>
      <c r="H18" s="49" t="n">
        <f aca="false">IF(Loan_Register!Y18="","",Loan_Register!Y18)</f>
        <v>46243</v>
      </c>
      <c r="I18" s="30" t="n">
        <f aca="false">IF(H18="",MAX(0,Settings!$B$5-G18),MAX(0,H18-G18))</f>
        <v>0</v>
      </c>
      <c r="J18" s="25" t="str">
        <f aca="false">IF(H18="",IF(Settings!$B$5&gt;G18,"Outstanding past due","Not yet due"),IF(I18&gt;0,"Received late","Received on time"))</f>
        <v>Received on time</v>
      </c>
      <c r="K18" s="25" t="str">
        <f aca="false">Loan_Register!H18</f>
        <v>Y</v>
      </c>
      <c r="L18" s="50" t="n">
        <f aca="false">IF(K18="Y",Loan_Register!Z18,"n/a")</f>
        <v>46282</v>
      </c>
      <c r="M18" s="30" t="n">
        <f aca="false">IF(K18="Y",Settings!$B$5-L18,"")</f>
        <v>13</v>
      </c>
      <c r="N18" s="25" t="str">
        <f aca="false">IF(K18="Y",IF(M18&gt;Settings!$B$8,"Late","Current"),"n/a")</f>
        <v>Current</v>
      </c>
      <c r="O18" s="49" t="n">
        <f aca="false">Loan_Register!J18</f>
        <v>47026</v>
      </c>
      <c r="P18" s="30" t="n">
        <f aca="false">O18-Settings!$B$5</f>
        <v>731</v>
      </c>
      <c r="Q18" s="25" t="str">
        <f aca="false">IF(P18&lt;=Settings!$B$10,"Maturing &lt;= 12 mo","")</f>
        <v/>
      </c>
    </row>
    <row r="19" customFormat="false" ht="15" hidden="false" customHeight="false" outlineLevel="0" collapsed="false">
      <c r="A19" s="9" t="str">
        <f aca="false">Loan_Register!A19</f>
        <v>PL-1015</v>
      </c>
      <c r="B19" s="9" t="str">
        <f aca="false">Loan_Register!B19</f>
        <v>Meridian Physical Therapy Group, LLC</v>
      </c>
      <c r="C19" s="49" t="n">
        <f aca="false">Loan_Register!V19</f>
        <v>46142</v>
      </c>
      <c r="D19" s="49" t="n">
        <f aca="false">IF(Loan_Register!W19="","",Loan_Register!W19)</f>
        <v>46120</v>
      </c>
      <c r="E19" s="30" t="n">
        <f aca="false">IF(D19="",MAX(0,Settings!$B$5-C19),MAX(0,D19-C19))</f>
        <v>0</v>
      </c>
      <c r="F19" s="25" t="str">
        <f aca="false">IF(D19="",IF(Settings!$B$5&gt;C19,"Outstanding past due","Not yet due"),IF(E19&gt;0,"Received late","Received on time"))</f>
        <v>Received on time</v>
      </c>
      <c r="G19" s="49" t="n">
        <f aca="false">Loan_Register!X19</f>
        <v>46248</v>
      </c>
      <c r="H19" s="49" t="n">
        <f aca="false">IF(Loan_Register!Y19="","",Loan_Register!Y19)</f>
        <v>46236</v>
      </c>
      <c r="I19" s="30" t="n">
        <f aca="false">IF(H19="",MAX(0,Settings!$B$5-G19),MAX(0,H19-G19))</f>
        <v>0</v>
      </c>
      <c r="J19" s="25" t="str">
        <f aca="false">IF(H19="",IF(Settings!$B$5&gt;G19,"Outstanding past due","Not yet due"),IF(I19&gt;0,"Received late","Received on time"))</f>
        <v>Received on time</v>
      </c>
      <c r="K19" s="25" t="str">
        <f aca="false">Loan_Register!H19</f>
        <v>N</v>
      </c>
      <c r="L19" s="50" t="str">
        <f aca="false">IF(K19="Y",Loan_Register!Z19,"n/a")</f>
        <v>n/a</v>
      </c>
      <c r="M19" s="30" t="str">
        <f aca="false">IF(K19="Y",Settings!$B$5-L19,"")</f>
        <v/>
      </c>
      <c r="N19" s="25" t="str">
        <f aca="false">IF(K19="Y",IF(M19&gt;Settings!$B$8,"Late","Current"),"n/a")</f>
        <v>n/a</v>
      </c>
      <c r="O19" s="49" t="n">
        <f aca="false">Loan_Register!J19</f>
        <v>46811</v>
      </c>
      <c r="P19" s="30" t="n">
        <f aca="false">O19-Settings!$B$5</f>
        <v>516</v>
      </c>
      <c r="Q19" s="25" t="str">
        <f aca="false">IF(P19&lt;=Settings!$B$10,"Maturing &lt;= 12 mo","")</f>
        <v/>
      </c>
    </row>
    <row r="20" customFormat="false" ht="15" hidden="false" customHeight="false" outlineLevel="0" collapsed="false">
      <c r="A20" s="9" t="str">
        <f aca="false">Loan_Register!A20</f>
        <v>PL-1016</v>
      </c>
      <c r="B20" s="9" t="str">
        <f aca="false">Loan_Register!B20</f>
        <v>Pecan Street Self Storage, LLC</v>
      </c>
      <c r="C20" s="49" t="n">
        <f aca="false">Loan_Register!V20</f>
        <v>46142</v>
      </c>
      <c r="D20" s="49" t="n">
        <f aca="false">IF(Loan_Register!W20="","",Loan_Register!W20)</f>
        <v>46126</v>
      </c>
      <c r="E20" s="30" t="n">
        <f aca="false">IF(D20="",MAX(0,Settings!$B$5-C20),MAX(0,D20-C20))</f>
        <v>0</v>
      </c>
      <c r="F20" s="25" t="str">
        <f aca="false">IF(D20="",IF(Settings!$B$5&gt;C20,"Outstanding past due","Not yet due"),IF(E20&gt;0,"Received late","Received on time"))</f>
        <v>Received on time</v>
      </c>
      <c r="G20" s="49" t="n">
        <f aca="false">Loan_Register!X20</f>
        <v>46248</v>
      </c>
      <c r="H20" s="49" t="n">
        <f aca="false">IF(Loan_Register!Y20="","",Loan_Register!Y20)</f>
        <v>46241</v>
      </c>
      <c r="I20" s="30" t="n">
        <f aca="false">IF(H20="",MAX(0,Settings!$B$5-G20),MAX(0,H20-G20))</f>
        <v>0</v>
      </c>
      <c r="J20" s="25" t="str">
        <f aca="false">IF(H20="",IF(Settings!$B$5&gt;G20,"Outstanding past due","Not yet due"),IF(I20&gt;0,"Received late","Received on time"))</f>
        <v>Received on time</v>
      </c>
      <c r="K20" s="25" t="str">
        <f aca="false">Loan_Register!H20</f>
        <v>N</v>
      </c>
      <c r="L20" s="50" t="str">
        <f aca="false">IF(K20="Y",Loan_Register!Z20,"n/a")</f>
        <v>n/a</v>
      </c>
      <c r="M20" s="30" t="str">
        <f aca="false">IF(K20="Y",Settings!$B$5-L20,"")</f>
        <v/>
      </c>
      <c r="N20" s="25" t="str">
        <f aca="false">IF(K20="Y",IF(M20&gt;Settings!$B$8,"Late","Current"),"n/a")</f>
        <v>n/a</v>
      </c>
      <c r="O20" s="49" t="n">
        <f aca="false">Loan_Register!J20</f>
        <v>48060</v>
      </c>
      <c r="P20" s="30" t="n">
        <f aca="false">O20-Settings!$B$5</f>
        <v>1765</v>
      </c>
      <c r="Q20" s="25" t="str">
        <f aca="false">IF(P20&lt;=Settings!$B$10,"Maturing &lt;= 12 mo","")</f>
        <v/>
      </c>
    </row>
    <row r="21" customFormat="false" ht="15" hidden="false" customHeight="false" outlineLevel="0" collapsed="false">
      <c r="A21" s="9" t="str">
        <f aca="false">Loan_Register!A21</f>
        <v>PL-1017</v>
      </c>
      <c r="B21" s="9" t="str">
        <f aca="false">Loan_Register!B21</f>
        <v>Allied Packaging Distributors, Inc.</v>
      </c>
      <c r="C21" s="49" t="n">
        <f aca="false">Loan_Register!V21</f>
        <v>46142</v>
      </c>
      <c r="D21" s="49" t="n">
        <f aca="false">IF(Loan_Register!W21="","",Loan_Register!W21)</f>
        <v>46136</v>
      </c>
      <c r="E21" s="30" t="n">
        <f aca="false">IF(D21="",MAX(0,Settings!$B$5-C21),MAX(0,D21-C21))</f>
        <v>0</v>
      </c>
      <c r="F21" s="25" t="str">
        <f aca="false">IF(D21="",IF(Settings!$B$5&gt;C21,"Outstanding past due","Not yet due"),IF(E21&gt;0,"Received late","Received on time"))</f>
        <v>Received on time</v>
      </c>
      <c r="G21" s="49" t="n">
        <f aca="false">Loan_Register!X21</f>
        <v>46248</v>
      </c>
      <c r="H21" s="49" t="n">
        <f aca="false">IF(Loan_Register!Y21="","",Loan_Register!Y21)</f>
        <v>46246</v>
      </c>
      <c r="I21" s="30" t="n">
        <f aca="false">IF(H21="",MAX(0,Settings!$B$5-G21),MAX(0,H21-G21))</f>
        <v>0</v>
      </c>
      <c r="J21" s="25" t="str">
        <f aca="false">IF(H21="",IF(Settings!$B$5&gt;G21,"Outstanding past due","Not yet due"),IF(I21&gt;0,"Received late","Received on time"))</f>
        <v>Received on time</v>
      </c>
      <c r="K21" s="25" t="str">
        <f aca="false">Loan_Register!H21</f>
        <v>Y</v>
      </c>
      <c r="L21" s="50" t="n">
        <f aca="false">IF(K21="Y",Loan_Register!Z21,"n/a")</f>
        <v>46279</v>
      </c>
      <c r="M21" s="30" t="n">
        <f aca="false">IF(K21="Y",Settings!$B$5-L21,"")</f>
        <v>16</v>
      </c>
      <c r="N21" s="25" t="str">
        <f aca="false">IF(K21="Y",IF(M21&gt;Settings!$B$8,"Late","Current"),"n/a")</f>
        <v>Current</v>
      </c>
      <c r="O21" s="49" t="n">
        <f aca="false">Loan_Register!J21</f>
        <v>47118</v>
      </c>
      <c r="P21" s="30" t="n">
        <f aca="false">O21-Settings!$B$5</f>
        <v>823</v>
      </c>
      <c r="Q21" s="25" t="str">
        <f aca="false">IF(P21&lt;=Settings!$B$10,"Maturing &lt;= 12 mo","")</f>
        <v/>
      </c>
    </row>
    <row r="22" customFormat="false" ht="15" hidden="false" customHeight="false" outlineLevel="0" collapsed="false">
      <c r="A22" s="9" t="str">
        <f aca="false">Loan_Register!A22</f>
        <v>PL-1018</v>
      </c>
      <c r="B22" s="9" t="str">
        <f aca="false">Loan_Register!B22</f>
        <v>Northgate Senior Living, LLC</v>
      </c>
      <c r="C22" s="49" t="n">
        <f aca="false">Loan_Register!V22</f>
        <v>46142</v>
      </c>
      <c r="D22" s="49" t="n">
        <f aca="false">IF(Loan_Register!W22="","",Loan_Register!W22)</f>
        <v>46138</v>
      </c>
      <c r="E22" s="30" t="n">
        <f aca="false">IF(D22="",MAX(0,Settings!$B$5-C22),MAX(0,D22-C22))</f>
        <v>0</v>
      </c>
      <c r="F22" s="25" t="str">
        <f aca="false">IF(D22="",IF(Settings!$B$5&gt;C22,"Outstanding past due","Not yet due"),IF(E22&gt;0,"Received late","Received on time"))</f>
        <v>Received on time</v>
      </c>
      <c r="G22" s="49" t="n">
        <f aca="false">Loan_Register!X22</f>
        <v>46248</v>
      </c>
      <c r="H22" s="49" t="n">
        <f aca="false">IF(Loan_Register!Y22="","",Loan_Register!Y22)</f>
        <v>46247</v>
      </c>
      <c r="I22" s="30" t="n">
        <f aca="false">IF(H22="",MAX(0,Settings!$B$5-G22),MAX(0,H22-G22))</f>
        <v>0</v>
      </c>
      <c r="J22" s="25" t="str">
        <f aca="false">IF(H22="",IF(Settings!$B$5&gt;G22,"Outstanding past due","Not yet due"),IF(I22&gt;0,"Received late","Received on time"))</f>
        <v>Received on time</v>
      </c>
      <c r="K22" s="25" t="str">
        <f aca="false">Loan_Register!H22</f>
        <v>N</v>
      </c>
      <c r="L22" s="50" t="str">
        <f aca="false">IF(K22="Y",Loan_Register!Z22,"n/a")</f>
        <v>n/a</v>
      </c>
      <c r="M22" s="30" t="str">
        <f aca="false">IF(K22="Y",Settings!$B$5-L22,"")</f>
        <v/>
      </c>
      <c r="N22" s="25" t="str">
        <f aca="false">IF(K22="Y",IF(M22&gt;Settings!$B$8,"Late","Current"),"n/a")</f>
        <v>n/a</v>
      </c>
      <c r="O22" s="49" t="n">
        <f aca="false">Loan_Register!J22</f>
        <v>47238</v>
      </c>
      <c r="P22" s="30" t="n">
        <f aca="false">O22-Settings!$B$5</f>
        <v>943</v>
      </c>
      <c r="Q22" s="25" t="str">
        <f aca="false">IF(P22&lt;=Settings!$B$10,"Maturing &lt;= 12 mo","")</f>
        <v/>
      </c>
    </row>
    <row r="23" customFormat="false" ht="15" hidden="false" customHeight="false" outlineLevel="0" collapsed="false">
      <c r="A23" s="9" t="str">
        <f aca="false">Loan_Register!A23</f>
        <v>PL-1019</v>
      </c>
      <c r="B23" s="9" t="str">
        <f aca="false">Loan_Register!B23</f>
        <v>Clearwater HVAC Services, Inc.</v>
      </c>
      <c r="C23" s="49" t="n">
        <f aca="false">Loan_Register!V23</f>
        <v>46142</v>
      </c>
      <c r="D23" s="49" t="n">
        <f aca="false">IF(Loan_Register!W23="","",Loan_Register!W23)</f>
        <v>46131</v>
      </c>
      <c r="E23" s="30" t="n">
        <f aca="false">IF(D23="",MAX(0,Settings!$B$5-C23),MAX(0,D23-C23))</f>
        <v>0</v>
      </c>
      <c r="F23" s="25" t="str">
        <f aca="false">IF(D23="",IF(Settings!$B$5&gt;C23,"Outstanding past due","Not yet due"),IF(E23&gt;0,"Received late","Received on time"))</f>
        <v>Received on time</v>
      </c>
      <c r="G23" s="49" t="n">
        <f aca="false">Loan_Register!X23</f>
        <v>46248</v>
      </c>
      <c r="H23" s="49" t="n">
        <f aca="false">IF(Loan_Register!Y23="","",Loan_Register!Y23)</f>
        <v>46245</v>
      </c>
      <c r="I23" s="30" t="n">
        <f aca="false">IF(H23="",MAX(0,Settings!$B$5-G23),MAX(0,H23-G23))</f>
        <v>0</v>
      </c>
      <c r="J23" s="25" t="str">
        <f aca="false">IF(H23="",IF(Settings!$B$5&gt;G23,"Outstanding past due","Not yet due"),IF(I23&gt;0,"Received late","Received on time"))</f>
        <v>Received on time</v>
      </c>
      <c r="K23" s="25" t="str">
        <f aca="false">Loan_Register!H23</f>
        <v>Y</v>
      </c>
      <c r="L23" s="50" t="n">
        <f aca="false">IF(K23="Y",Loan_Register!Z23,"n/a")</f>
        <v>46285</v>
      </c>
      <c r="M23" s="30" t="n">
        <f aca="false">IF(K23="Y",Settings!$B$5-L23,"")</f>
        <v>10</v>
      </c>
      <c r="N23" s="25" t="str">
        <f aca="false">IF(K23="Y",IF(M23&gt;Settings!$B$8,"Late","Current"),"n/a")</f>
        <v>Current</v>
      </c>
      <c r="O23" s="49" t="n">
        <f aca="false">Loan_Register!J23</f>
        <v>46630</v>
      </c>
      <c r="P23" s="30" t="n">
        <f aca="false">O23-Settings!$B$5</f>
        <v>335</v>
      </c>
      <c r="Q23" s="25" t="str">
        <f aca="false">IF(P23&lt;=Settings!$B$10,"Maturing &lt;= 12 mo","")</f>
        <v>Maturing &lt;= 12 mo</v>
      </c>
    </row>
    <row r="24" customFormat="false" ht="15" hidden="false" customHeight="false" outlineLevel="0" collapsed="false">
      <c r="A24" s="9" t="str">
        <f aca="false">Loan_Register!A24</f>
        <v>PL-1020</v>
      </c>
      <c r="B24" s="9" t="str">
        <f aca="false">Loan_Register!B24</f>
        <v>Sabine Marine Services, LLC</v>
      </c>
      <c r="C24" s="49" t="n">
        <f aca="false">Loan_Register!V24</f>
        <v>46142</v>
      </c>
      <c r="D24" s="49" t="n">
        <f aca="false">IF(Loan_Register!W24="","",Loan_Register!W24)</f>
        <v>46135</v>
      </c>
      <c r="E24" s="30" t="n">
        <f aca="false">IF(D24="",MAX(0,Settings!$B$5-C24),MAX(0,D24-C24))</f>
        <v>0</v>
      </c>
      <c r="F24" s="25" t="str">
        <f aca="false">IF(D24="",IF(Settings!$B$5&gt;C24,"Outstanding past due","Not yet due"),IF(E24&gt;0,"Received late","Received on time"))</f>
        <v>Received on time</v>
      </c>
      <c r="G24" s="49" t="n">
        <f aca="false">Loan_Register!X24</f>
        <v>46248</v>
      </c>
      <c r="H24" s="49" t="n">
        <f aca="false">IF(Loan_Register!Y24="","",Loan_Register!Y24)</f>
        <v>46244</v>
      </c>
      <c r="I24" s="30" t="n">
        <f aca="false">IF(H24="",MAX(0,Settings!$B$5-G24),MAX(0,H24-G24))</f>
        <v>0</v>
      </c>
      <c r="J24" s="25" t="str">
        <f aca="false">IF(H24="",IF(Settings!$B$5&gt;G24,"Outstanding past due","Not yet due"),IF(I24&gt;0,"Received late","Received on time"))</f>
        <v>Received on time</v>
      </c>
      <c r="K24" s="25" t="str">
        <f aca="false">Loan_Register!H24</f>
        <v>N</v>
      </c>
      <c r="L24" s="50" t="str">
        <f aca="false">IF(K24="Y",Loan_Register!Z24,"n/a")</f>
        <v>n/a</v>
      </c>
      <c r="M24" s="30" t="str">
        <f aca="false">IF(K24="Y",Settings!$B$5-L24,"")</f>
        <v/>
      </c>
      <c r="N24" s="25" t="str">
        <f aca="false">IF(K24="Y",IF(M24&gt;Settings!$B$8,"Late","Current"),"n/a")</f>
        <v>n/a</v>
      </c>
      <c r="O24" s="49" t="n">
        <f aca="false">Loan_Register!J24</f>
        <v>47787</v>
      </c>
      <c r="P24" s="30" t="n">
        <f aca="false">O24-Settings!$B$5</f>
        <v>1492</v>
      </c>
      <c r="Q24" s="25" t="str">
        <f aca="false">IF(P24&lt;=Settings!$B$10,"Maturing &lt;= 12 mo","")</f>
        <v/>
      </c>
    </row>
    <row r="25" customFormat="false" ht="15" hidden="false" customHeight="false" outlineLevel="0" collapsed="false">
      <c r="A25" s="9" t="str">
        <f aca="false">Loan_Register!A25</f>
        <v>PL-1021</v>
      </c>
      <c r="B25" s="9" t="str">
        <f aca="false">Loan_Register!B25</f>
        <v>Heights Craft Brewing Co.</v>
      </c>
      <c r="C25" s="49" t="n">
        <f aca="false">Loan_Register!V25</f>
        <v>46142</v>
      </c>
      <c r="D25" s="49" t="n">
        <f aca="false">IF(Loan_Register!W25="","",Loan_Register!W25)</f>
        <v>46183</v>
      </c>
      <c r="E25" s="30" t="n">
        <f aca="false">IF(D25="",MAX(0,Settings!$B$5-C25),MAX(0,D25-C25))</f>
        <v>41</v>
      </c>
      <c r="F25" s="25" t="str">
        <f aca="false">IF(D25="",IF(Settings!$B$5&gt;C25,"Outstanding past due","Not yet due"),IF(E25&gt;0,"Received late","Received on time"))</f>
        <v>Received late</v>
      </c>
      <c r="G25" s="49" t="n">
        <f aca="false">Loan_Register!X25</f>
        <v>46248</v>
      </c>
      <c r="H25" s="49" t="n">
        <f aca="false">IF(Loan_Register!Y25="","",Loan_Register!Y25)</f>
        <v>46267</v>
      </c>
      <c r="I25" s="30" t="n">
        <f aca="false">IF(H25="",MAX(0,Settings!$B$5-G25),MAX(0,H25-G25))</f>
        <v>19</v>
      </c>
      <c r="J25" s="25" t="str">
        <f aca="false">IF(H25="",IF(Settings!$B$5&gt;G25,"Outstanding past due","Not yet due"),IF(I25&gt;0,"Received late","Received on time"))</f>
        <v>Received late</v>
      </c>
      <c r="K25" s="25" t="str">
        <f aca="false">Loan_Register!H25</f>
        <v>Y</v>
      </c>
      <c r="L25" s="50" t="n">
        <f aca="false">IF(K25="Y",Loan_Register!Z25,"n/a")</f>
        <v>46223</v>
      </c>
      <c r="M25" s="30" t="n">
        <f aca="false">IF(K25="Y",Settings!$B$5-L25,"")</f>
        <v>72</v>
      </c>
      <c r="N25" s="25" t="str">
        <f aca="false">IF(K25="Y",IF(M25&gt;Settings!$B$8,"Late","Current"),"n/a")</f>
        <v>Late</v>
      </c>
      <c r="O25" s="49" t="n">
        <f aca="false">Loan_Register!J25</f>
        <v>46934</v>
      </c>
      <c r="P25" s="30" t="n">
        <f aca="false">O25-Settings!$B$5</f>
        <v>639</v>
      </c>
      <c r="Q25" s="25" t="str">
        <f aca="false">IF(P25&lt;=Settings!$B$10,"Maturing &lt;= 12 mo","")</f>
        <v/>
      </c>
    </row>
    <row r="26" customFormat="false" ht="15" hidden="false" customHeight="false" outlineLevel="0" collapsed="false">
      <c r="A26" s="9" t="str">
        <f aca="false">Loan_Register!A26</f>
        <v>PL-1022</v>
      </c>
      <c r="B26" s="9" t="str">
        <f aca="false">Loan_Register!B26</f>
        <v>Lakeside Veterinary Partners, LLC</v>
      </c>
      <c r="C26" s="49" t="n">
        <f aca="false">Loan_Register!V26</f>
        <v>46142</v>
      </c>
      <c r="D26" s="49" t="n">
        <f aca="false">IF(Loan_Register!W26="","",Loan_Register!W26)</f>
        <v>46123</v>
      </c>
      <c r="E26" s="30" t="n">
        <f aca="false">IF(D26="",MAX(0,Settings!$B$5-C26),MAX(0,D26-C26))</f>
        <v>0</v>
      </c>
      <c r="F26" s="25" t="str">
        <f aca="false">IF(D26="",IF(Settings!$B$5&gt;C26,"Outstanding past due","Not yet due"),IF(E26&gt;0,"Received late","Received on time"))</f>
        <v>Received on time</v>
      </c>
      <c r="G26" s="49" t="n">
        <f aca="false">Loan_Register!X26</f>
        <v>46248</v>
      </c>
      <c r="H26" s="49" t="n">
        <f aca="false">IF(Loan_Register!Y26="","",Loan_Register!Y26)</f>
        <v>46240</v>
      </c>
      <c r="I26" s="30" t="n">
        <f aca="false">IF(H26="",MAX(0,Settings!$B$5-G26),MAX(0,H26-G26))</f>
        <v>0</v>
      </c>
      <c r="J26" s="25" t="str">
        <f aca="false">IF(H26="",IF(Settings!$B$5&gt;G26,"Outstanding past due","Not yet due"),IF(I26&gt;0,"Received late","Received on time"))</f>
        <v>Received on time</v>
      </c>
      <c r="K26" s="25" t="str">
        <f aca="false">Loan_Register!H26</f>
        <v>N</v>
      </c>
      <c r="L26" s="50" t="str">
        <f aca="false">IF(K26="Y",Loan_Register!Z26,"n/a")</f>
        <v>n/a</v>
      </c>
      <c r="M26" s="30" t="str">
        <f aca="false">IF(K26="Y",Settings!$B$5-L26,"")</f>
        <v/>
      </c>
      <c r="N26" s="25" t="str">
        <f aca="false">IF(K26="Y",IF(M26&gt;Settings!$B$8,"Late","Current"),"n/a")</f>
        <v>n/a</v>
      </c>
      <c r="O26" s="49" t="n">
        <f aca="false">Loan_Register!J26</f>
        <v>47573</v>
      </c>
      <c r="P26" s="30" t="n">
        <f aca="false">O26-Settings!$B$5</f>
        <v>1278</v>
      </c>
      <c r="Q26" s="25" t="str">
        <f aca="false">IF(P26&lt;=Settings!$B$10,"Maturing &lt;= 12 mo","")</f>
        <v/>
      </c>
    </row>
    <row r="27" customFormat="false" ht="15" hidden="false" customHeight="false" outlineLevel="0" collapsed="false">
      <c r="A27" s="9" t="str">
        <f aca="false">Loan_Register!A27</f>
        <v>PL-1023</v>
      </c>
      <c r="B27" s="9" t="str">
        <f aca="false">Loan_Register!B27</f>
        <v>Bellaire Industrial Flex, LLC</v>
      </c>
      <c r="C27" s="49" t="n">
        <f aca="false">Loan_Register!V27</f>
        <v>46142</v>
      </c>
      <c r="D27" s="49" t="n">
        <f aca="false">IF(Loan_Register!W27="","",Loan_Register!W27)</f>
        <v>46129</v>
      </c>
      <c r="E27" s="30" t="n">
        <f aca="false">IF(D27="",MAX(0,Settings!$B$5-C27),MAX(0,D27-C27))</f>
        <v>0</v>
      </c>
      <c r="F27" s="25" t="str">
        <f aca="false">IF(D27="",IF(Settings!$B$5&gt;C27,"Outstanding past due","Not yet due"),IF(E27&gt;0,"Received late","Received on time"))</f>
        <v>Received on time</v>
      </c>
      <c r="G27" s="49" t="n">
        <f aca="false">Loan_Register!X27</f>
        <v>46248</v>
      </c>
      <c r="H27" s="49" t="n">
        <f aca="false">IF(Loan_Register!Y27="","",Loan_Register!Y27)</f>
        <v>46237</v>
      </c>
      <c r="I27" s="30" t="n">
        <f aca="false">IF(H27="",MAX(0,Settings!$B$5-G27),MAX(0,H27-G27))</f>
        <v>0</v>
      </c>
      <c r="J27" s="25" t="str">
        <f aca="false">IF(H27="",IF(Settings!$B$5&gt;G27,"Outstanding past due","Not yet due"),IF(I27&gt;0,"Received late","Received on time"))</f>
        <v>Received on time</v>
      </c>
      <c r="K27" s="25" t="str">
        <f aca="false">Loan_Register!H27</f>
        <v>N</v>
      </c>
      <c r="L27" s="50" t="str">
        <f aca="false">IF(K27="Y",Loan_Register!Z27,"n/a")</f>
        <v>n/a</v>
      </c>
      <c r="M27" s="30" t="str">
        <f aca="false">IF(K27="Y",Settings!$B$5-L27,"")</f>
        <v/>
      </c>
      <c r="N27" s="25" t="str">
        <f aca="false">IF(K27="Y",IF(M27&gt;Settings!$B$8,"Late","Current"),"n/a")</f>
        <v>n/a</v>
      </c>
      <c r="O27" s="49" t="n">
        <f aca="false">Loan_Register!J27</f>
        <v>48182</v>
      </c>
      <c r="P27" s="30" t="n">
        <f aca="false">O27-Settings!$B$5</f>
        <v>1887</v>
      </c>
      <c r="Q27" s="25" t="str">
        <f aca="false">IF(P27&lt;=Settings!$B$10,"Maturing &lt;= 12 mo","")</f>
        <v/>
      </c>
    </row>
    <row r="28" customFormat="false" ht="15" hidden="false" customHeight="false" outlineLevel="0" collapsed="false">
      <c r="A28" s="9" t="str">
        <f aca="false">Loan_Register!A28</f>
        <v>PL-1024</v>
      </c>
      <c r="B28" s="9" t="str">
        <f aca="false">Loan_Register!B28</f>
        <v>Texan Precision Plastics, LLC</v>
      </c>
      <c r="C28" s="49" t="n">
        <f aca="false">Loan_Register!V28</f>
        <v>46142</v>
      </c>
      <c r="D28" s="49" t="n">
        <f aca="false">IF(Loan_Register!W28="","",Loan_Register!W28)</f>
        <v>46141</v>
      </c>
      <c r="E28" s="30" t="n">
        <f aca="false">IF(D28="",MAX(0,Settings!$B$5-C28),MAX(0,D28-C28))</f>
        <v>0</v>
      </c>
      <c r="F28" s="25" t="str">
        <f aca="false">IF(D28="",IF(Settings!$B$5&gt;C28,"Outstanding past due","Not yet due"),IF(E28&gt;0,"Received late","Received on time"))</f>
        <v>Received on time</v>
      </c>
      <c r="G28" s="49" t="n">
        <f aca="false">Loan_Register!X28</f>
        <v>46248</v>
      </c>
      <c r="H28" s="49" t="n">
        <f aca="false">IF(Loan_Register!Y28="","",Loan_Register!Y28)</f>
        <v>46246</v>
      </c>
      <c r="I28" s="30" t="n">
        <f aca="false">IF(H28="",MAX(0,Settings!$B$5-G28),MAX(0,H28-G28))</f>
        <v>0</v>
      </c>
      <c r="J28" s="25" t="str">
        <f aca="false">IF(H28="",IF(Settings!$B$5&gt;G28,"Outstanding past due","Not yet due"),IF(I28&gt;0,"Received late","Received on time"))</f>
        <v>Received on time</v>
      </c>
      <c r="K28" s="25" t="str">
        <f aca="false">Loan_Register!H28</f>
        <v>Y</v>
      </c>
      <c r="L28" s="50" t="n">
        <f aca="false">IF(K28="Y",Loan_Register!Z28,"n/a")</f>
        <v>46283</v>
      </c>
      <c r="M28" s="30" t="n">
        <f aca="false">IF(K28="Y",Settings!$B$5-L28,"")</f>
        <v>12</v>
      </c>
      <c r="N28" s="25" t="str">
        <f aca="false">IF(K28="Y",IF(M28&gt;Settings!$B$8,"Late","Current"),"n/a")</f>
        <v>Current</v>
      </c>
      <c r="O28" s="49" t="n">
        <f aca="false">Loan_Register!J28</f>
        <v>46996</v>
      </c>
      <c r="P28" s="30" t="n">
        <f aca="false">O28-Settings!$B$5</f>
        <v>701</v>
      </c>
      <c r="Q28" s="25" t="str">
        <f aca="false">IF(P28&lt;=Settings!$B$10,"Maturing &lt;= 12 mo","")</f>
        <v/>
      </c>
    </row>
  </sheetData>
  <conditionalFormatting sqref="F5:F28">
    <cfRule type="cellIs" priority="2" operator="equal" aboveAverage="0" equalAverage="0" bottom="0" percent="0" rank="0" text="" dxfId="0">
      <formula>"Breach"</formula>
    </cfRule>
    <cfRule type="cellIs" priority="3" operator="equal" aboveAverage="0" equalAverage="0" bottom="0" percent="0" rank="0" text="" dxfId="0">
      <formula>"Critical"</formula>
    </cfRule>
    <cfRule type="cellIs" priority="4" operator="equal" aboveAverage="0" equalAverage="0" bottom="0" percent="0" rank="0" text="" dxfId="0">
      <formula>"Outstanding past due"</formula>
    </cfRule>
    <cfRule type="cellIs" priority="5" operator="equal" aboveAverage="0" equalAverage="0" bottom="0" percent="0" rank="0" text="" dxfId="1">
      <formula>"Near Breach"</formula>
    </cfRule>
    <cfRule type="cellIs" priority="6" operator="equal" aboveAverage="0" equalAverage="0" bottom="0" percent="0" rank="0" text="" dxfId="1">
      <formula>"Watch"</formula>
    </cfRule>
    <cfRule type="cellIs" priority="7" operator="equal" aboveAverage="0" equalAverage="0" bottom="0" percent="0" rank="0" text="" dxfId="2">
      <formula>"Received late"</formula>
    </cfRule>
    <cfRule type="cellIs" priority="8" operator="equal" aboveAverage="0" equalAverage="0" bottom="0" percent="0" rank="0" text="" dxfId="2">
      <formula>"Monitor"</formula>
    </cfRule>
    <cfRule type="cellIs" priority="9" operator="equal" aboveAverage="0" equalAverage="0" bottom="0" percent="0" rank="0" text="" dxfId="0">
      <formula>"Late"</formula>
    </cfRule>
    <cfRule type="cellIs" priority="10" operator="equal" aboveAverage="0" equalAverage="0" bottom="0" percent="0" rank="0" text="" dxfId="1">
      <formula>"Near limit"</formula>
    </cfRule>
    <cfRule type="cellIs" priority="11" operator="equal" aboveAverage="0" equalAverage="0" bottom="0" percent="0" rank="0" text="" dxfId="0">
      <formula>"Over limit"</formula>
    </cfRule>
    <cfRule type="cellIs" priority="12" operator="equal" aboveAverage="0" equalAverage="0" bottom="0" percent="0" rank="0" text="" dxfId="2">
      <formula>"Maturing &lt;= 12 mo"</formula>
    </cfRule>
    <cfRule type="cellIs" priority="13" operator="equal" aboveAverage="0" equalAverage="0" bottom="0" percent="0" rank="0" text="" dxfId="3">
      <formula>"Pass"</formula>
    </cfRule>
    <cfRule type="cellIs" priority="14" operator="equal" aboveAverage="0" equalAverage="0" bottom="0" percent="0" rank="0" text="" dxfId="3">
      <formula>"Green"</formula>
    </cfRule>
    <cfRule type="cellIs" priority="15" operator="equal" aboveAverage="0" equalAverage="0" bottom="0" percent="0" rank="0" text="" dxfId="3">
      <formula>"Within limit"</formula>
    </cfRule>
  </conditionalFormatting>
  <conditionalFormatting sqref="J5:J28">
    <cfRule type="cellIs" priority="16" operator="equal" aboveAverage="0" equalAverage="0" bottom="0" percent="0" rank="0" text="" dxfId="0">
      <formula>"Breach"</formula>
    </cfRule>
    <cfRule type="cellIs" priority="17" operator="equal" aboveAverage="0" equalAverage="0" bottom="0" percent="0" rank="0" text="" dxfId="0">
      <formula>"Critical"</formula>
    </cfRule>
    <cfRule type="cellIs" priority="18" operator="equal" aboveAverage="0" equalAverage="0" bottom="0" percent="0" rank="0" text="" dxfId="0">
      <formula>"Outstanding past due"</formula>
    </cfRule>
    <cfRule type="cellIs" priority="19" operator="equal" aboveAverage="0" equalAverage="0" bottom="0" percent="0" rank="0" text="" dxfId="1">
      <formula>"Near Breach"</formula>
    </cfRule>
    <cfRule type="cellIs" priority="20" operator="equal" aboveAverage="0" equalAverage="0" bottom="0" percent="0" rank="0" text="" dxfId="1">
      <formula>"Watch"</formula>
    </cfRule>
    <cfRule type="cellIs" priority="21" operator="equal" aboveAverage="0" equalAverage="0" bottom="0" percent="0" rank="0" text="" dxfId="2">
      <formula>"Received late"</formula>
    </cfRule>
    <cfRule type="cellIs" priority="22" operator="equal" aboveAverage="0" equalAverage="0" bottom="0" percent="0" rank="0" text="" dxfId="2">
      <formula>"Monitor"</formula>
    </cfRule>
    <cfRule type="cellIs" priority="23" operator="equal" aboveAverage="0" equalAverage="0" bottom="0" percent="0" rank="0" text="" dxfId="0">
      <formula>"Late"</formula>
    </cfRule>
    <cfRule type="cellIs" priority="24" operator="equal" aboveAverage="0" equalAverage="0" bottom="0" percent="0" rank="0" text="" dxfId="1">
      <formula>"Near limit"</formula>
    </cfRule>
    <cfRule type="cellIs" priority="25" operator="equal" aboveAverage="0" equalAverage="0" bottom="0" percent="0" rank="0" text="" dxfId="0">
      <formula>"Over limit"</formula>
    </cfRule>
    <cfRule type="cellIs" priority="26" operator="equal" aboveAverage="0" equalAverage="0" bottom="0" percent="0" rank="0" text="" dxfId="2">
      <formula>"Maturing &lt;= 12 mo"</formula>
    </cfRule>
    <cfRule type="cellIs" priority="27" operator="equal" aboveAverage="0" equalAverage="0" bottom="0" percent="0" rank="0" text="" dxfId="3">
      <formula>"Pass"</formula>
    </cfRule>
    <cfRule type="cellIs" priority="28" operator="equal" aboveAverage="0" equalAverage="0" bottom="0" percent="0" rank="0" text="" dxfId="3">
      <formula>"Green"</formula>
    </cfRule>
    <cfRule type="cellIs" priority="29" operator="equal" aboveAverage="0" equalAverage="0" bottom="0" percent="0" rank="0" text="" dxfId="3">
      <formula>"Within limit"</formula>
    </cfRule>
  </conditionalFormatting>
  <conditionalFormatting sqref="N5:N28">
    <cfRule type="cellIs" priority="30" operator="equal" aboveAverage="0" equalAverage="0" bottom="0" percent="0" rank="0" text="" dxfId="0">
      <formula>"Breach"</formula>
    </cfRule>
    <cfRule type="cellIs" priority="31" operator="equal" aboveAverage="0" equalAverage="0" bottom="0" percent="0" rank="0" text="" dxfId="0">
      <formula>"Critical"</formula>
    </cfRule>
    <cfRule type="cellIs" priority="32" operator="equal" aboveAverage="0" equalAverage="0" bottom="0" percent="0" rank="0" text="" dxfId="0">
      <formula>"Outstanding past due"</formula>
    </cfRule>
    <cfRule type="cellIs" priority="33" operator="equal" aboveAverage="0" equalAverage="0" bottom="0" percent="0" rank="0" text="" dxfId="1">
      <formula>"Near Breach"</formula>
    </cfRule>
    <cfRule type="cellIs" priority="34" operator="equal" aboveAverage="0" equalAverage="0" bottom="0" percent="0" rank="0" text="" dxfId="1">
      <formula>"Watch"</formula>
    </cfRule>
    <cfRule type="cellIs" priority="35" operator="equal" aboveAverage="0" equalAverage="0" bottom="0" percent="0" rank="0" text="" dxfId="2">
      <formula>"Received late"</formula>
    </cfRule>
    <cfRule type="cellIs" priority="36" operator="equal" aboveAverage="0" equalAverage="0" bottom="0" percent="0" rank="0" text="" dxfId="2">
      <formula>"Monitor"</formula>
    </cfRule>
    <cfRule type="cellIs" priority="37" operator="equal" aboveAverage="0" equalAverage="0" bottom="0" percent="0" rank="0" text="" dxfId="0">
      <formula>"Late"</formula>
    </cfRule>
    <cfRule type="cellIs" priority="38" operator="equal" aboveAverage="0" equalAverage="0" bottom="0" percent="0" rank="0" text="" dxfId="1">
      <formula>"Near limit"</formula>
    </cfRule>
    <cfRule type="cellIs" priority="39" operator="equal" aboveAverage="0" equalAverage="0" bottom="0" percent="0" rank="0" text="" dxfId="0">
      <formula>"Over limit"</formula>
    </cfRule>
    <cfRule type="cellIs" priority="40" operator="equal" aboveAverage="0" equalAverage="0" bottom="0" percent="0" rank="0" text="" dxfId="2">
      <formula>"Maturing &lt;= 12 mo"</formula>
    </cfRule>
    <cfRule type="cellIs" priority="41" operator="equal" aboveAverage="0" equalAverage="0" bottom="0" percent="0" rank="0" text="" dxfId="3">
      <formula>"Pass"</formula>
    </cfRule>
    <cfRule type="cellIs" priority="42" operator="equal" aboveAverage="0" equalAverage="0" bottom="0" percent="0" rank="0" text="" dxfId="3">
      <formula>"Green"</formula>
    </cfRule>
    <cfRule type="cellIs" priority="43" operator="equal" aboveAverage="0" equalAverage="0" bottom="0" percent="0" rank="0" text="" dxfId="3">
      <formula>"Within limit"</formula>
    </cfRule>
  </conditionalFormatting>
  <conditionalFormatting sqref="Q5:Q28">
    <cfRule type="cellIs" priority="44" operator="equal" aboveAverage="0" equalAverage="0" bottom="0" percent="0" rank="0" text="" dxfId="0">
      <formula>"Breach"</formula>
    </cfRule>
    <cfRule type="cellIs" priority="45" operator="equal" aboveAverage="0" equalAverage="0" bottom="0" percent="0" rank="0" text="" dxfId="0">
      <formula>"Critical"</formula>
    </cfRule>
    <cfRule type="cellIs" priority="46" operator="equal" aboveAverage="0" equalAverage="0" bottom="0" percent="0" rank="0" text="" dxfId="0">
      <formula>"Outstanding past due"</formula>
    </cfRule>
    <cfRule type="cellIs" priority="47" operator="equal" aboveAverage="0" equalAverage="0" bottom="0" percent="0" rank="0" text="" dxfId="1">
      <formula>"Near Breach"</formula>
    </cfRule>
    <cfRule type="cellIs" priority="48" operator="equal" aboveAverage="0" equalAverage="0" bottom="0" percent="0" rank="0" text="" dxfId="1">
      <formula>"Watch"</formula>
    </cfRule>
    <cfRule type="cellIs" priority="49" operator="equal" aboveAverage="0" equalAverage="0" bottom="0" percent="0" rank="0" text="" dxfId="2">
      <formula>"Received late"</formula>
    </cfRule>
    <cfRule type="cellIs" priority="50" operator="equal" aboveAverage="0" equalAverage="0" bottom="0" percent="0" rank="0" text="" dxfId="2">
      <formula>"Monitor"</formula>
    </cfRule>
    <cfRule type="cellIs" priority="51" operator="equal" aboveAverage="0" equalAverage="0" bottom="0" percent="0" rank="0" text="" dxfId="0">
      <formula>"Late"</formula>
    </cfRule>
    <cfRule type="cellIs" priority="52" operator="equal" aboveAverage="0" equalAverage="0" bottom="0" percent="0" rank="0" text="" dxfId="1">
      <formula>"Near limit"</formula>
    </cfRule>
    <cfRule type="cellIs" priority="53" operator="equal" aboveAverage="0" equalAverage="0" bottom="0" percent="0" rank="0" text="" dxfId="0">
      <formula>"Over limit"</formula>
    </cfRule>
    <cfRule type="cellIs" priority="54" operator="equal" aboveAverage="0" equalAverage="0" bottom="0" percent="0" rank="0" text="" dxfId="2">
      <formula>"Maturing &lt;= 12 mo"</formula>
    </cfRule>
    <cfRule type="cellIs" priority="55" operator="equal" aboveAverage="0" equalAverage="0" bottom="0" percent="0" rank="0" text="" dxfId="3">
      <formula>"Pass"</formula>
    </cfRule>
    <cfRule type="cellIs" priority="56" operator="equal" aboveAverage="0" equalAverage="0" bottom="0" percent="0" rank="0" text="" dxfId="3">
      <formula>"Green"</formula>
    </cfRule>
    <cfRule type="cellIs" priority="57" operator="equal" aboveAverage="0" equalAverage="0" bottom="0" percent="0" rank="0" text="" dxfId="3">
      <formula>"Within limit"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2026-10-23T22:09:32Z</dcterms:created>
  <dc:creator>openpyxl</dc:creator>
  <dc:description/>
  <dc:language>en-US</dc:language>
  <cp:lastModifiedBy/>
  <dcterms:modified xsi:type="dcterms:W3CDTF">2026-10-23T22:09:32Z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